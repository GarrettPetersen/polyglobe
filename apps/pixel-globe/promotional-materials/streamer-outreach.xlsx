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735494156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edbomb Source" sheetId="1" r:id="R809c5c9316594621"/>
    <x:sheet xmlns:r="http://schemas.openxmlformats.org/officeDocument/2006/relationships" name="Outreach" sheetId="2" r:id="R2d2fdd6cfca1442e"/>
    <x:sheet xmlns:r="http://schemas.openxmlformats.org/officeDocument/2006/relationships" name="Curated Leads" sheetId="3" r:id="R6eac2d0240374a5f"/>
    <x:sheet xmlns:r="http://schemas.openxmlformats.org/officeDocument/2006/relationships" name="Research Sources" sheetId="4" r:id="R73c515aebd884df2"/>
    <x:sheet xmlns:r="http://schemas.openxmlformats.org/officeDocument/2006/relationships" name="Scoring" sheetId="5" r:id="Rf8e18130bb38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yyyy-mm-dd"/>
  </x:numFmts>
  <x:fonts count="9">
    <x:font>
      <x:sz val="11"/>
      <x:name val="Carlito"/>
    </x:font>
    <x:font>
      <x:b/>
      <x:sz val="14"/>
      <x:color rgb="FFF3E2BC"/>
      <x:name val="Carlito"/>
    </x:font>
    <x:font>
      <x:b/>
      <x:sz val="11"/>
      <x:color rgb="FFFFFFFF"/>
      <x:name val="Carlito"/>
    </x:font>
    <x:font>
      <x:i/>
      <x:sz val="11"/>
      <x:color rgb="FF3A2E25"/>
      <x:name val="Carlito"/>
    </x:font>
    <x:font>
      <x:b/>
      <x:sz val="18"/>
      <x:color rgb="FFF3E2BC"/>
      <x:name val="Aptos Display"/>
    </x:font>
    <x:font>
      <x:i/>
      <x:sz val="10"/>
      <x:color rgb="FF3A2E25"/>
      <x:name val="Aptos"/>
    </x:font>
    <x:font>
      <x:b/>
      <x:sz val="11"/>
      <x:color rgb="FFFFFFFF"/>
      <x:name val="Aptos"/>
    </x:font>
    <x:font>
      <x:b/>
      <x:sz val="10"/>
      <x:color rgb="FFF3E2BC"/>
      <x:name val="Aptos"/>
    </x:font>
    <x:font>
      <x:sz val="10"/>
      <x:color rgb="FF242026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131D"/>
      </x:patternFill>
    </x:fill>
    <x:fill>
      <x:patternFill patternType="solid">
        <x:fgColor rgb="FF2D6B6B"/>
      </x:patternFill>
    </x:fill>
    <x:fill>
      <x:patternFill patternType="solid">
        <x:fgColor rgb="FFF3E2BC"/>
      </x:patternFill>
    </x:fill>
  </x:fills>
  <x:borders count="34">
    <x:border/>
    <x:border/>
    <x:border>
      <x:left style="thin">
        <x:color rgb="FFD6A85F"/>
      </x:left>
      <x:top style="thin">
        <x:color rgb="FFD6A85F"/>
      </x:top>
    </x:border>
    <x:border>
      <x:top style="thin">
        <x:color rgb="FFD6A85F"/>
      </x:top>
    </x:border>
    <x:border>
      <x:right style="thin">
        <x:color rgb="FFD6A85F"/>
      </x:right>
      <x:top style="thin">
        <x:color rgb="FFD6A85F"/>
      </x:top>
    </x:border>
    <x:border>
      <x:left style="thin">
        <x:color rgb="FFD6A85F"/>
      </x:left>
    </x:border>
    <x:border>
      <x:right style="thin">
        <x:color rgb="FFD6A85F"/>
      </x:right>
    </x:border>
    <x:border>
      <x:left style="thin">
        <x:color rgb="FFD6A85F"/>
      </x:left>
      <x:bottom style="thin">
        <x:color rgb="FFD6A85F"/>
      </x:bottom>
    </x:border>
    <x:border>
      <x:bottom style="thin">
        <x:color rgb="FFD6A85F"/>
      </x:bottom>
    </x:border>
    <x:border>
      <x:right style="thin">
        <x:color rgb="FFD6A85F"/>
      </x:right>
      <x:bottom style="thin">
        <x:color rgb="FFD6A85F"/>
      </x:bottom>
    </x:border>
    <x:border>
      <x:left style="thin">
        <x:color rgb="FFD6A85F"/>
      </x:left>
      <x:top style="thin">
        <x:color rgb="FFD6A85F"/>
      </x:top>
    </x:border>
    <x:border>
      <x:top style="thin">
        <x:color rgb="FFD6A85F"/>
      </x:top>
    </x:border>
    <x:border>
      <x:right style="thin">
        <x:color rgb="FFD6A85F"/>
      </x:right>
      <x:top style="thin">
        <x:color rgb="FFD6A85F"/>
      </x:top>
    </x:border>
    <x:border>
      <x:left style="thin">
        <x:color rgb="FFD6A85F"/>
      </x:left>
    </x:border>
    <x:border>
      <x:right style="thin">
        <x:color rgb="FFD6A85F"/>
      </x:right>
    </x:border>
    <x:border>
      <x:left style="thin">
        <x:color rgb="FFD6A85F"/>
      </x:left>
      <x:bottom style="thin">
        <x:color rgb="FFD6A85F"/>
      </x:bottom>
    </x:border>
    <x:border>
      <x:bottom style="thin">
        <x:color rgb="FFD6A85F"/>
      </x:bottom>
    </x:border>
    <x:border>
      <x:right style="thin">
        <x:color rgb="FFD6A85F"/>
      </x:right>
      <x:bottom style="thin">
        <x:color rgb="FFD6A85F"/>
      </x:bottom>
    </x:border>
    <x:border>
      <x:left style="thin">
        <x:color rgb="FFD6A85F"/>
      </x:left>
      <x:top style="thin">
        <x:color rgb="FFD6A85F"/>
      </x:top>
      <x:bottom style="thin">
        <x:color rgb="FFD6A85F"/>
      </x:bottom>
    </x:border>
    <x:border>
      <x:top style="thin">
        <x:color rgb="FFD6A85F"/>
      </x:top>
      <x:bottom style="thin">
        <x:color rgb="FFD6A85F"/>
      </x:bottom>
    </x:border>
    <x:border>
      <x:right style="thin">
        <x:color rgb="FFD6A85F"/>
      </x:right>
      <x:top style="thin">
        <x:color rgb="FFD6A85F"/>
      </x:top>
      <x:bottom style="thin">
        <x:color rgb="FFD6A85F"/>
      </x:bottom>
    </x:border>
    <x:border>
      <x:left style="thin">
        <x:color rgb="FFD6A85F"/>
      </x:left>
      <x:top style="thin">
        <x:color rgb="FFD6A85F"/>
      </x:top>
      <x:bottom style="thin">
        <x:color rgb="FFD6A85F"/>
      </x:bottom>
    </x:border>
    <x:border>
      <x:top style="thin">
        <x:color rgb="FFD6A85F"/>
      </x:top>
      <x:bottom style="thin">
        <x:color rgb="FFD6A85F"/>
      </x:bottom>
    </x:border>
    <x:border>
      <x:right style="thin">
        <x:color rgb="FFD6A85F"/>
      </x:right>
      <x:top style="thin">
        <x:color rgb="FFD6A85F"/>
      </x:top>
      <x:bottom style="thin">
        <x:color rgb="FFD6A85F"/>
      </x:bottom>
    </x:border>
    <x:border>
      <x:left style="thin">
        <x:color rgb="FF1E4E4E"/>
      </x:left>
      <x:top style="thin">
        <x:color rgb="FF1E4E4E"/>
      </x:top>
      <x:bottom style="thin">
        <x:color rgb="FF1E4E4E"/>
      </x:bottom>
    </x:border>
    <x:border>
      <x:right style="thin">
        <x:color rgb="FF1E4E4E"/>
      </x:right>
      <x:top style="thin">
        <x:color rgb="FF1E4E4E"/>
      </x:top>
      <x:bottom style="thin">
        <x:color rgb="FF1E4E4E"/>
      </x:bottom>
    </x:border>
    <x:border>
      <x:left style="thin">
        <x:color rgb="FF1E4E4E"/>
      </x:left>
      <x:top style="thin">
        <x:color rgb="FF1E4E4E"/>
      </x:top>
      <x:bottom style="thin">
        <x:color rgb="FF1E4E4E"/>
      </x:bottom>
    </x:border>
    <x:border>
      <x:right style="thin">
        <x:color rgb="FF1E4E4E"/>
      </x:right>
      <x:top style="thin">
        <x:color rgb="FF1E4E4E"/>
      </x:top>
      <x:bottom style="thin">
        <x:color rgb="FF1E4E4E"/>
      </x:bottom>
    </x:border>
    <x:border>
      <x:bottom style="thin">
        <x:color rgb="FFE1D9CB"/>
      </x:bottom>
    </x:border>
    <x:border>
      <x:top style="thin">
        <x:color rgb="FFE1D9CB"/>
      </x:top>
      <x:bottom style="thin">
        <x:color rgb="FFE1D9CB"/>
      </x:bottom>
    </x:border>
    <x:border>
      <x:top style="thin">
        <x:color rgb="FFE1D9CB"/>
      </x:top>
      <x:bottom style="thin">
        <x:color rgb="FFD6A85F"/>
      </x:bottom>
    </x:border>
    <x:border>
      <x:bottom style="thin">
        <x:color rgb="FFE1D9CB"/>
      </x:bottom>
    </x:border>
    <x:border>
      <x:top style="thin">
        <x:color rgb="FFE1D9CB"/>
      </x:top>
      <x:bottom style="thin">
        <x:color rgb="FFE1D9CB"/>
      </x:bottom>
    </x:border>
    <x:border>
      <x:top style="thin">
        <x:color rgb="FFE1D9CB"/>
      </x:top>
      <x:bottom style="thin">
        <x:color rgb="FFD6A85F"/>
      </x:bottom>
    </x:border>
  </x:borders>
  <x:cellStyleXfs count="1">
    <x:xf numFmtId="0" fontId="0" fillId="0" borderId="0"/>
  </x:cellStyleXfs>
  <x:cellXfs count="2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3" fillId="4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4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 applyAlignment="1">
      <x:alignment vertical="top" wrapText="1"/>
    </x:xf>
    <x:xf numFmtId="0" fontId="3" fillId="4" borderId="16" xfId="0" applyNumberFormat="1" applyFont="1" applyFill="1" applyBorder="1" applyAlignment="1">
      <x:alignment vertical="top" wrapText="1"/>
    </x:xf>
    <x:xf numFmtId="0" fontId="3" fillId="4" borderId="17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8" xfId="0" applyNumberFormat="1" applyFont="1" applyFill="1" applyBorder="1"/>
    <x:xf numFmtId="0" fontId="5" fillId="4" borderId="19" xfId="0" applyNumberFormat="1" applyFont="1" applyFill="1" applyBorder="1"/>
    <x:xf numFmtId="0" fontId="5" fillId="4" borderId="20" xfId="0" applyNumberFormat="1" applyFont="1" applyFill="1" applyBorder="1"/>
    <x:xf numFmtId="0" fontId="5" fillId="4" borderId="21" xfId="0" applyNumberFormat="1" applyFont="1" applyFill="1" applyBorder="1"/>
    <x:xf numFmtId="0" fontId="5" fillId="4" borderId="22" xfId="0" applyNumberFormat="1" applyFont="1" applyFill="1" applyBorder="1"/>
    <x:xf numFmtId="0" fontId="5" fillId="4" borderId="23" xfId="0" applyNumberFormat="1" applyFont="1" applyFill="1" applyBorder="1"/>
    <x:xf numFmtId="0" fontId="5" fillId="4" borderId="18" xfId="0" applyNumberFormat="1" applyFont="1" applyFill="1" applyBorder="1" applyAlignment="1">
      <x:alignment wrapText="1"/>
    </x:xf>
    <x:xf numFmtId="0" fontId="5" fillId="4" borderId="19" xfId="0" applyNumberFormat="1" applyFont="1" applyFill="1" applyBorder="1" applyAlignment="1">
      <x:alignment wrapText="1"/>
    </x:xf>
    <x:xf numFmtId="0" fontId="5" fillId="4" borderId="20" xfId="0" applyNumberFormat="1" applyFont="1" applyFill="1" applyBorder="1" applyAlignment="1">
      <x:alignment wrapText="1"/>
    </x:xf>
    <x:xf numFmtId="0" fontId="5" fillId="4" borderId="21" xfId="0" applyNumberFormat="1" applyFont="1" applyFill="1" applyBorder="1" applyAlignment="1">
      <x:alignment wrapText="1"/>
    </x:xf>
    <x:xf numFmtId="0" fontId="5" fillId="4" borderId="22" xfId="0" applyNumberFormat="1" applyFont="1" applyFill="1" applyBorder="1" applyAlignment="1">
      <x:alignment wrapText="1"/>
    </x:xf>
    <x:xf numFmtId="0" fontId="5" fillId="4" borderId="23" xfId="0" applyNumberFormat="1" applyFont="1" applyFill="1" applyBorder="1" applyAlignment="1">
      <x:alignment wrapText="1"/>
    </x:xf>
    <x:xf numFmtId="0" fontId="5" fillId="4" borderId="18" xfId="0" applyNumberFormat="1" applyFont="1" applyFill="1" applyBorder="1" applyAlignment="1">
      <x:alignment vertical="center" wrapText="1"/>
    </x:xf>
    <x:xf numFmtId="0" fontId="5" fillId="4" borderId="19" xfId="0" applyNumberFormat="1" applyFont="1" applyFill="1" applyBorder="1" applyAlignment="1">
      <x:alignment vertical="center" wrapText="1"/>
    </x:xf>
    <x:xf numFmtId="0" fontId="5" fillId="4" borderId="20" xfId="0" applyNumberFormat="1" applyFont="1" applyFill="1" applyBorder="1" applyAlignment="1">
      <x:alignment vertical="center" wrapText="1"/>
    </x:xf>
    <x:xf numFmtId="0" fontId="5" fillId="4" borderId="21" xfId="0" applyNumberFormat="1" applyFont="1" applyFill="1" applyBorder="1" applyAlignment="1">
      <x:alignment vertical="center" wrapText="1"/>
    </x:xf>
    <x:xf numFmtId="0" fontId="5" fillId="4" borderId="22" xfId="0" applyNumberFormat="1" applyFont="1" applyFill="1" applyBorder="1" applyAlignment="1">
      <x:alignment vertical="center" wrapText="1"/>
    </x:xf>
    <x:xf numFmtId="0" fontId="5" fillId="4" borderId="2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24" xfId="0" applyNumberFormat="1" applyFont="1" applyFill="1" applyBorder="1"/>
    <x:xf numFmtId="0" fontId="6" fillId="3" borderId="25" xfId="0" applyNumberFormat="1" applyFont="1" applyFill="1" applyBorder="1"/>
    <x:xf numFmtId="0" fontId="6" fillId="3" borderId="26" xfId="0" applyNumberFormat="1" applyFont="1" applyFill="1" applyBorder="1"/>
    <x:xf numFmtId="0" fontId="6" fillId="3" borderId="27" xfId="0" applyNumberFormat="1" applyFont="1" applyFill="1" applyBorder="1"/>
    <x:xf numFmtId="0" fontId="6" fillId="3" borderId="24" xfId="0" applyNumberFormat="1" applyFont="1" applyFill="1" applyBorder="1" applyAlignment="1">
      <x:alignment vertical="center"/>
    </x:xf>
    <x:xf numFmtId="0" fontId="6" fillId="3" borderId="25" xfId="0" applyNumberFormat="1" applyFont="1" applyFill="1" applyBorder="1" applyAlignment="1">
      <x:alignment vertical="center"/>
    </x:xf>
    <x:xf numFmtId="0" fontId="6" fillId="3" borderId="26" xfId="0" applyNumberFormat="1" applyFont="1" applyFill="1" applyBorder="1" applyAlignment="1">
      <x:alignment vertical="center"/>
    </x:xf>
    <x:xf numFmtId="0" fontId="6" fillId="3" borderId="27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8" xfId="0" applyNumberFormat="1" applyFont="1" applyFill="1" applyBorder="1"/>
    <x:xf numFmtId="0" fontId="7" fillId="2" borderId="19" xfId="0" applyNumberFormat="1" applyFont="1" applyFill="1" applyBorder="1"/>
    <x:xf numFmtId="0" fontId="7" fillId="2" borderId="20" xfId="0" applyNumberFormat="1" applyFont="1" applyFill="1" applyBorder="1"/>
    <x:xf numFmtId="0" fontId="7" fillId="2" borderId="21" xfId="0" applyNumberFormat="1" applyFont="1" applyFill="1" applyBorder="1"/>
    <x:xf numFmtId="0" fontId="7" fillId="2" borderId="22" xfId="0" applyNumberFormat="1" applyFont="1" applyFill="1" applyBorder="1"/>
    <x:xf numFmtId="0" fontId="7" fillId="2" borderId="23" xfId="0" applyNumberFormat="1" applyFont="1" applyFill="1" applyBorder="1"/>
    <x:xf numFmtId="0" fontId="7" fillId="2" borderId="18" xfId="0" applyNumberFormat="1" applyFont="1" applyFill="1" applyBorder="1" applyAlignment="1">
      <x:alignment wrapText="1"/>
    </x:xf>
    <x:xf numFmtId="0" fontId="7" fillId="2" borderId="19" xfId="0" applyNumberFormat="1" applyFont="1" applyFill="1" applyBorder="1" applyAlignment="1">
      <x:alignment wrapText="1"/>
    </x:xf>
    <x:xf numFmtId="0" fontId="7" fillId="2" borderId="20" xfId="0" applyNumberFormat="1" applyFont="1" applyFill="1" applyBorder="1" applyAlignment="1">
      <x:alignment wrapText="1"/>
    </x:xf>
    <x:xf numFmtId="0" fontId="7" fillId="2" borderId="21" xfId="0" applyNumberFormat="1" applyFont="1" applyFill="1" applyBorder="1" applyAlignment="1">
      <x:alignment wrapText="1"/>
    </x:xf>
    <x:xf numFmtId="0" fontId="7" fillId="2" borderId="22" xfId="0" applyNumberFormat="1" applyFont="1" applyFill="1" applyBorder="1" applyAlignment="1">
      <x:alignment wrapText="1"/>
    </x:xf>
    <x:xf numFmtId="0" fontId="7" fillId="2" borderId="23" xfId="0" applyNumberFormat="1" applyFont="1" applyFill="1" applyBorder="1" applyAlignment="1">
      <x:alignment wrapText="1"/>
    </x:xf>
    <x:xf numFmtId="0" fontId="7" fillId="2" borderId="18" xfId="0" applyNumberFormat="1" applyFont="1" applyFill="1" applyBorder="1" applyAlignment="1">
      <x:alignment vertical="center" wrapText="1"/>
    </x:xf>
    <x:xf numFmtId="0" fontId="7" fillId="2" borderId="19" xfId="0" applyNumberFormat="1" applyFont="1" applyFill="1" applyBorder="1" applyAlignment="1">
      <x:alignment vertical="center" wrapText="1"/>
    </x:xf>
    <x:xf numFmtId="0" fontId="7" fillId="2" borderId="20" xfId="0" applyNumberFormat="1" applyFont="1" applyFill="1" applyBorder="1" applyAlignment="1">
      <x:alignment vertical="center" wrapText="1"/>
    </x:xf>
    <x:xf numFmtId="0" fontId="7" fillId="2" borderId="21" xfId="0" applyNumberFormat="1" applyFont="1" applyFill="1" applyBorder="1" applyAlignment="1">
      <x:alignment vertical="center" wrapText="1"/>
    </x:xf>
    <x:xf numFmtId="0" fontId="7" fillId="2" borderId="22" xfId="0" applyNumberFormat="1" applyFont="1" applyFill="1" applyBorder="1" applyAlignment="1">
      <x:alignment vertical="center" wrapText="1"/>
    </x:xf>
    <x:xf numFmtId="0" fontId="7" fillId="2" borderId="23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28" xfId="0" applyNumberFormat="1" applyFont="1" applyFill="1" applyBorder="1"/>
    <x:xf numFmtId="0" fontId="8" fillId="0" borderId="29" xfId="0" applyNumberFormat="1" applyFont="1" applyFill="1" applyBorder="1"/>
    <x:xf numFmtId="0" fontId="8" fillId="0" borderId="30" xfId="0" applyNumberFormat="1" applyFont="1" applyFill="1" applyBorder="1"/>
    <x:xf numFmtId="0" fontId="8" fillId="0" borderId="31" xfId="0" applyNumberFormat="1" applyFont="1" applyFill="1" applyBorder="1"/>
    <x:xf numFmtId="0" fontId="8" fillId="0" borderId="32" xfId="0" applyNumberFormat="1" applyFont="1" applyFill="1" applyBorder="1"/>
    <x:xf numFmtId="0" fontId="8" fillId="0" borderId="33" xfId="0" applyNumberFormat="1" applyFont="1" applyFill="1" applyBorder="1"/>
    <x:xf numFmtId="0" fontId="8" fillId="0" borderId="28" xfId="0" applyNumberFormat="1" applyFont="1" applyFill="1" applyBorder="1" applyAlignment="1">
      <x:alignment wrapText="1"/>
    </x:xf>
    <x:xf numFmtId="0" fontId="8" fillId="0" borderId="29" xfId="0" applyNumberFormat="1" applyFont="1" applyFill="1" applyBorder="1" applyAlignment="1">
      <x:alignment wrapText="1"/>
    </x:xf>
    <x:xf numFmtId="0" fontId="8" fillId="0" borderId="30" xfId="0" applyNumberFormat="1" applyFont="1" applyFill="1" applyBorder="1" applyAlignment="1">
      <x:alignment wrapText="1"/>
    </x:xf>
    <x:xf numFmtId="0" fontId="8" fillId="0" borderId="31" xfId="0" applyNumberFormat="1" applyFont="1" applyFill="1" applyBorder="1" applyAlignment="1">
      <x:alignment wrapText="1"/>
    </x:xf>
    <x:xf numFmtId="0" fontId="8" fillId="0" borderId="32" xfId="0" applyNumberFormat="1" applyFont="1" applyFill="1" applyBorder="1" applyAlignment="1">
      <x:alignment wrapText="1"/>
    </x:xf>
    <x:xf numFmtId="0" fontId="8" fillId="0" borderId="33" xfId="0" applyNumberFormat="1" applyFont="1" applyFill="1" applyBorder="1" applyAlignment="1">
      <x:alignment wrapText="1"/>
    </x:xf>
    <x:xf numFmtId="0" fontId="8" fillId="0" borderId="28" xfId="0" applyNumberFormat="1" applyFont="1" applyFill="1" applyBorder="1" applyAlignment="1">
      <x:alignment vertical="top" wrapText="1"/>
    </x:xf>
    <x:xf numFmtId="0" fontId="8" fillId="0" borderId="29" xfId="0" applyNumberFormat="1" applyFont="1" applyFill="1" applyBorder="1" applyAlignment="1">
      <x:alignment vertical="top" wrapText="1"/>
    </x:xf>
    <x:xf numFmtId="0" fontId="8" fillId="0" borderId="30" xfId="0" applyNumberFormat="1" applyFont="1" applyFill="1" applyBorder="1" applyAlignment="1">
      <x:alignment vertical="top" wrapText="1"/>
    </x:xf>
    <x:xf numFmtId="0" fontId="8" fillId="0" borderId="31" xfId="0" applyNumberFormat="1" applyFont="1" applyFill="1" applyBorder="1" applyAlignment="1">
      <x:alignment vertical="top" wrapText="1"/>
    </x:xf>
    <x:xf numFmtId="0" fontId="8" fillId="0" borderId="32" xfId="0" applyNumberFormat="1" applyFont="1" applyFill="1" applyBorder="1" applyAlignment="1">
      <x:alignment vertical="top" wrapText="1"/>
    </x:xf>
    <x:xf numFmtId="0" fontId="8" fillId="0" borderId="33" xfId="0" applyNumberFormat="1" applyFont="1" applyFill="1" applyBorder="1" applyAlignment="1">
      <x:alignment vertical="top" wrapText="1"/>
    </x:xf>
    <x:xf numFmtId="201" fontId="8" fillId="0" borderId="28" xfId="0" applyNumberFormat="1" applyFont="1" applyFill="1" applyBorder="1" applyAlignment="1">
      <x:alignment vertical="top" wrapText="1"/>
    </x:xf>
    <x:xf numFmtId="201" fontId="8" fillId="0" borderId="29" xfId="0" applyNumberFormat="1" applyFont="1" applyFill="1" applyBorder="1" applyAlignment="1">
      <x:alignment vertical="top" wrapText="1"/>
    </x:xf>
    <x:xf numFmtId="201" fontId="8" fillId="0" borderId="30" xfId="0" applyNumberFormat="1" applyFont="1" applyFill="1" applyBorder="1" applyAlignment="1">
      <x:alignment vertical="top" wrapText="1"/>
    </x:xf>
    <x:xf numFmtId="201" fontId="8" fillId="0" borderId="31" xfId="0" applyNumberFormat="1" applyFont="1" applyFill="1" applyBorder="1" applyAlignment="1">
      <x:alignment vertical="top" wrapText="1"/>
    </x:xf>
    <x:xf numFmtId="201" fontId="8" fillId="0" borderId="32" xfId="0" applyNumberFormat="1" applyFont="1" applyFill="1" applyBorder="1" applyAlignment="1">
      <x:alignment vertical="top" wrapText="1"/>
    </x:xf>
    <x:xf numFmtId="201" fontId="8" fillId="0" borderId="33" xfId="0" applyNumberFormat="1" applyFont="1" applyFill="1" applyBorder="1" applyAlignment="1">
      <x:alignment vertical="top" wrapText="1"/>
    </x:xf>
    <x:xf numFmtId="200" fontId="8" fillId="0" borderId="28" xfId="0" applyNumberFormat="1" applyFont="1" applyFill="1" applyBorder="1" applyAlignment="1">
      <x:alignment vertical="top" wrapText="1"/>
    </x:xf>
    <x:xf numFmtId="200" fontId="8" fillId="0" borderId="29" xfId="0" applyNumberFormat="1" applyFont="1" applyFill="1" applyBorder="1" applyAlignment="1">
      <x:alignment vertical="top" wrapText="1"/>
    </x:xf>
    <x:xf numFmtId="200" fontId="8" fillId="0" borderId="30" xfId="0" applyNumberFormat="1" applyFont="1" applyFill="1" applyBorder="1" applyAlignment="1">
      <x:alignment vertical="top" wrapText="1"/>
    </x:xf>
    <x:xf numFmtId="200" fontId="8" fillId="0" borderId="31" xfId="0" applyNumberFormat="1" applyFont="1" applyFill="1" applyBorder="1" applyAlignment="1">
      <x:alignment vertical="top" wrapText="1"/>
    </x:xf>
    <x:xf numFmtId="200" fontId="8" fillId="0" borderId="32" xfId="0" applyNumberFormat="1" applyFont="1" applyFill="1" applyBorder="1" applyAlignment="1">
      <x:alignment vertical="top" wrapText="1"/>
    </x:xf>
    <x:xf numFmtId="200" fontId="8" fillId="0" borderId="33" xfId="0" applyNumberFormat="1" applyFont="1" applyFill="1" applyBorder="1" applyAlignment="1">
      <x:alignment vertical="top" wrapText="1"/>
    </x:xf>
    <x:xf numFmtId="202" fontId="8" fillId="0" borderId="28" xfId="0" applyNumberFormat="1" applyFont="1" applyFill="1" applyBorder="1" applyAlignment="1">
      <x:alignment vertical="top" wrapText="1"/>
    </x:xf>
    <x:xf numFmtId="202" fontId="8" fillId="0" borderId="29" xfId="0" applyNumberFormat="1" applyFont="1" applyFill="1" applyBorder="1" applyAlignment="1">
      <x:alignment vertical="top" wrapText="1"/>
    </x:xf>
    <x:xf numFmtId="202" fontId="8" fillId="0" borderId="30" xfId="0" applyNumberFormat="1" applyFont="1" applyFill="1" applyBorder="1" applyAlignment="1">
      <x:alignment vertical="top" wrapText="1"/>
    </x:xf>
    <x:xf numFmtId="202" fontId="8" fillId="0" borderId="31" xfId="0" applyNumberFormat="1" applyFont="1" applyFill="1" applyBorder="1" applyAlignment="1">
      <x:alignment vertical="top" wrapText="1"/>
    </x:xf>
    <x:xf numFmtId="202" fontId="8" fillId="0" borderId="32" xfId="0" applyNumberFormat="1" applyFont="1" applyFill="1" applyBorder="1" applyAlignment="1">
      <x:alignment vertical="top" wrapText="1"/>
    </x:xf>
    <x:xf numFmtId="202" fontId="8" fillId="0" borderId="33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top" wrapText="1"/>
    </x:xf>
    <x:xf numFmtId="201" fontId="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245125"/>
      </x:font>
      <x:fill>
        <x:patternFill patternType="solid">
          <x:bgColor rgb="FFD9EAD3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245125"/>
      </x:font>
      <x:fill>
        <x:patternFill patternType="solid">
          <x:bgColor rgb="FFD9EAD3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568808f5c4669" /><Relationship Type="http://schemas.openxmlformats.org/officeDocument/2006/relationships/theme" Target="/xl/theme/theme1.xml" Id="Rabfd3b9571784ea9" /><Relationship Type="http://schemas.openxmlformats.org/officeDocument/2006/relationships/sharedStrings" Target="/xl/sharedStrings.xml" Id="Rb7ed514af7244393" /><Relationship Type="http://schemas.openxmlformats.org/officeDocument/2006/relationships/worksheet" Target="/xl/worksheets/sheet1.xml" Id="R809c5c9316594621" /><Relationship Type="http://schemas.openxmlformats.org/officeDocument/2006/relationships/worksheet" Target="/xl/worksheets/sheet2.xml" Id="R2d2fdd6cfca1442e" /><Relationship Type="http://schemas.openxmlformats.org/officeDocument/2006/relationships/worksheet" Target="/xl/worksheets/sheet3.xml" Id="R6eac2d0240374a5f" /><Relationship Type="http://schemas.openxmlformats.org/officeDocument/2006/relationships/worksheet" Target="/xl/worksheets/sheet4.xml" Id="R73c515aebd884df2" /><Relationship Type="http://schemas.openxmlformats.org/officeDocument/2006/relationships/worksheet" Target="/xl/worksheets/sheet5.xml" Id="Rf8e18130bb3845e8" /></Relationships>
</file>

<file path=xl/tables/table1.xml><?xml version="1.0" encoding="utf-8"?>
<x:table xmlns:x="http://schemas.openxmlformats.org/spreadsheetml/2006/main" id="4" name="SeedbombSourceTable" displayName="SeedbombSourceTable" ref="A1:H16" headerRowCount="1" totalsRowCount="0" totalsRowShown="0">
  <x:autoFilter ref="A1:H16"/>
  <x:tableColumns count="8">
    <x:tableColumn id="1" name="streamer_login_name"/>
    <x:tableColumn id="2" name="streamer_user_name"/>
    <x:tableColumn id="3" name="language1"/>
    <x:tableColumn id="4" name="language2"/>
    <x:tableColumn id="5" name="email"/>
    <x:tableColumn id="6" name="followers"/>
    <x:tableColumn id="7" name="avg_viewers"/>
    <x:tableColumn id="8" name="tags_top1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treamerOutreachTable" displayName="StreamerOutreachTable" ref="A7:X22" headerRowCount="1" totalsRowCount="0" totalsRowShown="0">
  <x:autoFilter ref="A7:X22"/>
  <x:tableColumns count="24">
    <x:tableColumn id="1" name="Priority"/>
    <x:tableColumn id="2" name="Wave"/>
    <x:tableColumn id="3" name="Creator"/>
    <x:tableColumn id="4" name="Twitch handle"/>
    <x:tableColumn id="5" name="Public business email"/>
    <x:tableColumn id="6" name="Primary language"/>
    <x:tableColumn id="7" name="Secondary language"/>
    <x:tableColumn id="8" name="Language fit"/>
    <x:tableColumn id="9" name="Followers (Seedbomb)"/>
    <x:tableColumn id="10" name="Avg viewers (Seedbomb)"/>
    <x:tableColumn id="11" name="Audience tier"/>
    <x:tableColumn id="12" name="Seedbomb top tags"/>
    <x:tableColumn id="13" name="Fit notes"/>
    <x:tableColumn id="14" name="Tag score"/>
    <x:tableColumn id="15" name="Audience score"/>
    <x:tableColumn id="16" name="Language score"/>
    <x:tableColumn id="17" name="Total score"/>
    <x:tableColumn id="18" name="Verification"/>
    <x:tableColumn id="19" name="Outreach status"/>
    <x:tableColumn id="20" name="Last contacted"/>
    <x:tableColumn id="21" name="Key sent"/>
    <x:tableColumn id="22" name="Response / coverage"/>
    <x:tableColumn id="23" name="Channel URL"/>
    <x:tableColumn id="24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uratedCreatorLeadsTable" displayName="CuratedCreatorLeadsTable" ref="A4:L12" headerRowCount="1" totalsRowCount="0" totalsRowShown="0">
  <x:autoFilter ref="A4:L12"/>
  <x:tableColumns count="12">
    <x:tableColumn id="1" name="Priority"/>
    <x:tableColumn id="2" name="Creator"/>
    <x:tableColumn id="3" name="Platform"/>
    <x:tableColumn id="4" name="Public business email"/>
    <x:tableColumn id="5" name="Language"/>
    <x:tableColumn id="6" name="Audience size"/>
    <x:tableColumn id="7" name="Audience detail"/>
    <x:tableColumn id="8" name="Coverage focus"/>
    <x:tableColumn id="9" name="Why it fits Marque &amp; Reprisal"/>
    <x:tableColumn id="10" name="Verification"/>
    <x:tableColumn id="11" name="Contact source"/>
    <x:tableColumn id="12" name="Chann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CreatorResearchSourcesTable" displayName="CreatorResearchSourcesTable" ref="A4:G13" headerRowCount="1" totalsRowCount="0" totalsRowShown="0">
  <x:autoFilter ref="A4:G13"/>
  <x:tableColumns count="7">
    <x:tableColumn id="1" name="Resource"/>
    <x:tableColumn id="2" name="Type"/>
    <x:tableColumn id="3" name="Access"/>
    <x:tableColumn id="4" name="Best use"/>
    <x:tableColumn id="5" name="Limitation"/>
    <x:tableColumn id="6" name="URL"/>
    <x:tableColumn id="7" name="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3206681f5941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c04b657d5248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bdfd9527b4f43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da170b1bf7340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31" hidden="0" customWidth="1"/>
    <x:col min="6" max="6" width="14" hidden="0" customWidth="1"/>
    <x:col min="7" max="7" width="14" hidden="0" customWidth="1"/>
    <x:col min="8" max="8" width="58" hidden="0" customWidth="1"/>
  </x:cols>
  <x:sheetData>
    <x:row r="1">
      <x:c r="A1" s="206" t="str">
        <x:v>streamer_login_name</x:v>
      </x:c>
      <x:c r="B1" s="206" t="str">
        <x:v>streamer_user_name</x:v>
      </x:c>
      <x:c r="C1" s="206" t="str">
        <x:v>language1</x:v>
      </x:c>
      <x:c r="D1" s="206" t="str">
        <x:v>language2</x:v>
      </x:c>
      <x:c r="E1" s="206" t="str">
        <x:v>email</x:v>
      </x:c>
      <x:c r="F1" s="206" t="str">
        <x:v>followers</x:v>
      </x:c>
      <x:c r="G1" s="206" t="str">
        <x:v>avg_viewers</x:v>
      </x:c>
      <x:c r="H1" s="206" t="str">
        <x:v>tags_top10</x:v>
      </x:c>
    </x:row>
    <x:row r="2" ht="46" customHeight="1">
      <x:c r="A2" s="210" t="str">
        <x:v>nowgameplay1</x:v>
      </x:c>
      <x:c r="B2" s="210" t="str">
        <x:v>nowgameplay1</x:v>
      </x:c>
      <x:c r="C2" s="210" t="str">
        <x:v>english</x:v>
      </x:c>
      <x:c r="D2" s="210" t="str"/>
      <x:c r="E2" s="210" t="str">
        <x:v>gabrielletsplaynow@gmail.com</x:v>
      </x:c>
      <x:c r="F2" s="216" t="str">
        <x:v>2337</x:v>
      </x:c>
      <x:c r="G2" s="216" t="str">
        <x:v>144</x:v>
      </x:c>
      <x:c r="H2" s="210" t="str">
        <x:v>Fantasy,Tactical RPG,Turn-Based Tactics,Roguelite,Story Rich,Turn-Based,Puzzle,Turn-Based Strategy,Roguelike,Strategy</x:v>
      </x:c>
    </x:row>
    <x:row r="3" ht="46" customHeight="1">
      <x:c r="A3" s="210" t="str">
        <x:v>cekterdown</x:v>
      </x:c>
      <x:c r="B3" s="210" t="str">
        <x:v>CekterDown</x:v>
      </x:c>
      <x:c r="C3" s="210" t="str">
        <x:v>french</x:v>
      </x:c>
      <x:c r="D3" s="210" t="str"/>
      <x:c r="E3" s="210" t="str">
        <x:v>levelartblog@gmail.com</x:v>
      </x:c>
      <x:c r="F3" s="216" t="str">
        <x:v>939</x:v>
      </x:c>
      <x:c r="G3" s="216" t="str">
        <x:v>215</x:v>
      </x:c>
      <x:c r="H3" s="210" t="str">
        <x:v>Singleplayer,Story Rich,RPG,Action,Adventure,Fantasy,Exploration,Puzzle,Combat,First-Person</x:v>
      </x:c>
    </x:row>
    <x:row r="4" ht="46" customHeight="1">
      <x:c r="A4" s="210" t="str">
        <x:v>nl_kripp</x:v>
      </x:c>
      <x:c r="B4" s="210" t="str">
        <x:v>nl_Kripp</x:v>
      </x:c>
      <x:c r="C4" s="210" t="str">
        <x:v>english</x:v>
      </x:c>
      <x:c r="D4" s="210" t="str"/>
      <x:c r="E4" s="210" t="str">
        <x:v>om.kripp@gmail.com</x:v>
      </x:c>
      <x:c r="F4" s="216" t="str">
        <x:v>1530486</x:v>
      </x:c>
      <x:c r="G4" s="216" t="str">
        <x:v>1860</x:v>
      </x:c>
      <x:c r="H4" s="210" t="str">
        <x:v>Strategy,Roguelite,RPG,Turn-Based Tactics,Turn-Based,Roguelike,Tactical RPG,Turn-Based Strategy,Turn-Based Combat,Choices Matter</x:v>
      </x:c>
    </x:row>
    <x:row r="5" ht="46" customHeight="1">
      <x:c r="A5" s="210" t="str">
        <x:v>arvidthemusic</x:v>
      </x:c>
      <x:c r="B5" s="210" t="str">
        <x:v>arvidthemusic</x:v>
      </x:c>
      <x:c r="C5" s="210" t="str">
        <x:v>english</x:v>
      </x:c>
      <x:c r="D5" s="210" t="str"/>
      <x:c r="E5" s="210" t="str">
        <x:v>arvidthemusic@gmail.com</x:v>
      </x:c>
      <x:c r="F5" s="216" t="str">
        <x:v>1053</x:v>
      </x:c>
      <x:c r="G5" s="216" t="str">
        <x:v>246</x:v>
      </x:c>
      <x:c r="H5" s="210" t="str">
        <x:v>First-Person,Singleplayer,Simulation,3D,Realistic,Casual,Exploration,Immersive Sim,Early Access,Multiplayer</x:v>
      </x:c>
    </x:row>
    <x:row r="6" ht="46" customHeight="1">
      <x:c r="A6" s="210" t="str">
        <x:v>modoze_</x:v>
      </x:c>
      <x:c r="B6" s="210" t="str">
        <x:v>MoDoze_</x:v>
      </x:c>
      <x:c r="C6" s="210" t="str">
        <x:v>english</x:v>
      </x:c>
      <x:c r="D6" s="210" t="str"/>
      <x:c r="E6" s="210" t="str">
        <x:v>ContactMoDoze@gmail.com</x:v>
      </x:c>
      <x:c r="F6" s="216" t="str">
        <x:v>3504</x:v>
      </x:c>
      <x:c r="G6" s="216" t="str">
        <x:v>372</x:v>
      </x:c>
      <x:c r="H6" s="210" t="str">
        <x:v>Casual,Simulation,3D,Multiplayer,Singleplayer,First-Person,Realistic,Online Co-Op,Exploration,Immersive Sim</x:v>
      </x:c>
    </x:row>
    <x:row r="7" ht="46" customHeight="1">
      <x:c r="A7" s="210" t="str">
        <x:v>minesuklaa</x:v>
      </x:c>
      <x:c r="B7" s="210" t="str">
        <x:v>Minesuklaa</x:v>
      </x:c>
      <x:c r="C7" s="210" t="str">
        <x:v>english</x:v>
      </x:c>
      <x:c r="D7" s="210" t="str"/>
      <x:c r="E7" s="210" t="str">
        <x:v>minesuklaa@gmail.com</x:v>
      </x:c>
      <x:c r="F7" s="216" t="str">
        <x:v>723</x:v>
      </x:c>
      <x:c r="G7" s="216" t="str">
        <x:v>36</x:v>
      </x:c>
      <x:c r="H7" s="210" t="str">
        <x:v>Early Access,Simulation,3D,First-Person,Multiplayer,Online Co-Op,Open World,Realistic,Life Sim,Casual</x:v>
      </x:c>
    </x:row>
    <x:row r="8" ht="46" customHeight="1">
      <x:c r="A8" s="210" t="str">
        <x:v>thorlar</x:v>
      </x:c>
      <x:c r="B8" s="210" t="str">
        <x:v>Thorlar</x:v>
      </x:c>
      <x:c r="C8" s="210" t="str">
        <x:v>english</x:v>
      </x:c>
      <x:c r="D8" s="210" t="str"/>
      <x:c r="E8" s="210" t="str">
        <x:v>thorlar@ggtalentgroup.com</x:v>
      </x:c>
      <x:c r="F8" s="216" t="str">
        <x:v>114675</x:v>
      </x:c>
      <x:c r="G8" s="216" t="str">
        <x:v>14381</x:v>
      </x:c>
      <x:c r="H8" s="210" t="str">
        <x:v>First-Person,3D,Horror,Exploration,Singleplayer,Psychological Horror,Mystery,Realistic,Adventure,Atmospheric</x:v>
      </x:c>
    </x:row>
    <x:row r="9" ht="46" customHeight="1">
      <x:c r="A9" s="210" t="str">
        <x:v>aksually</x:v>
      </x:c>
      <x:c r="B9" s="210" t="str">
        <x:v>aksually</x:v>
      </x:c>
      <x:c r="C9" s="210" t="str">
        <x:v>english</x:v>
      </x:c>
      <x:c r="D9" s="210" t="str"/>
      <x:c r="E9" s="210" t="str">
        <x:v>aksually@gmail.com</x:v>
      </x:c>
      <x:c r="F9" s="216" t="str">
        <x:v>152229</x:v>
      </x:c>
      <x:c r="G9" s="216" t="str">
        <x:v>2891</x:v>
      </x:c>
      <x:c r="H9" s="210" t="str">
        <x:v>Simulation,Early Access,3D,First-Person,Multiplayer,Online Co-Op,Open World,Realistic,Life Sim,Casual</x:v>
      </x:c>
    </x:row>
    <x:row r="10" ht="46" customHeight="1">
      <x:c r="A10" s="210" t="str">
        <x:v>zoreaudio</x:v>
      </x:c>
      <x:c r="B10" s="210" t="str">
        <x:v>zoreaudio</x:v>
      </x:c>
      <x:c r="C10" s="210" t="str">
        <x:v>finnish</x:v>
      </x:c>
      <x:c r="D10" s="210" t="str"/>
      <x:c r="E10" s="210" t="str">
        <x:v>zoreaudio@notmanagement.no</x:v>
      </x:c>
      <x:c r="F10" s="216" t="str">
        <x:v>29176</x:v>
      </x:c>
      <x:c r="G10" s="216" t="str">
        <x:v>49</x:v>
      </x:c>
      <x:c r="H10" s="210" t="str">
        <x:v>Simulation,Sandbox,Early Access,3D,First-Person,Multiplayer,Online Co-Op,Open World,Casual,Crafting</x:v>
      </x:c>
    </x:row>
    <x:row r="11" ht="46" customHeight="1">
      <x:c r="A11" s="210" t="str">
        <x:v>ezekiel_iii</x:v>
      </x:c>
      <x:c r="B11" s="210" t="str">
        <x:v>Ezekiel_III</x:v>
      </x:c>
      <x:c r="C11" s="210" t="str">
        <x:v>english</x:v>
      </x:c>
      <x:c r="D11" s="210" t="str"/>
      <x:c r="E11" s="210" t="str">
        <x:v>zeke3biz@gmail.com</x:v>
      </x:c>
      <x:c r="F11" s="216" t="str">
        <x:v>218809</x:v>
      </x:c>
      <x:c r="G11" s="216" t="str">
        <x:v>110</x:v>
      </x:c>
      <x:c r="H11" s="210" t="str">
        <x:v>Singleplayer,Adventure,Atmospheric,Story Rich,Indie,Exploration,Action,Puzzle,Horror,2D</x:v>
      </x:c>
    </x:row>
    <x:row r="12" ht="46" customHeight="1">
      <x:c r="A12" s="210" t="str">
        <x:v>bosscatfgc</x:v>
      </x:c>
      <x:c r="B12" s="210" t="str">
        <x:v>bosscatFGC</x:v>
      </x:c>
      <x:c r="C12" s="210" t="str">
        <x:v>english</x:v>
      </x:c>
      <x:c r="D12" s="210" t="str"/>
      <x:c r="E12" s="210" t="str">
        <x:v>bosscatfgc@gmail.com</x:v>
      </x:c>
      <x:c r="F12" s="216" t="str">
        <x:v>194</x:v>
      </x:c>
      <x:c r="G12" s="216" t="str">
        <x:v>34</x:v>
      </x:c>
      <x:c r="H12" s="210" t="str">
        <x:v>2D Fighter,Multiplayer,Singleplayer,Action,2D,Fighting,Pixel Graphics,Arcade,Retro,1990's</x:v>
      </x:c>
    </x:row>
    <x:row r="13" ht="46" customHeight="1">
      <x:c r="A13" s="210" t="str">
        <x:v>master_of_chaos</x:v>
      </x:c>
      <x:c r="B13" s="210" t="str">
        <x:v>Master_Of_Chaos</x:v>
      </x:c>
      <x:c r="C13" s="210" t="str">
        <x:v>english</x:v>
      </x:c>
      <x:c r="D13" s="210" t="str"/>
      <x:c r="E13" s="210" t="str">
        <x:v>mastrofchaos@gmail.com</x:v>
      </x:c>
      <x:c r="F13" s="216" t="str">
        <x:v>66681</x:v>
      </x:c>
      <x:c r="G13" s="216" t="str">
        <x:v>3823</x:v>
      </x:c>
      <x:c r="H13" s="210" t="str">
        <x:v>RPG,3D,JRPG,Fantasy,Medieval,Third Person,Party-Based RPG,Anime,Silent Protagonist,Villain Protagonist</x:v>
      </x:c>
    </x:row>
    <x:row r="14" ht="46" customHeight="1">
      <x:c r="A14" s="210" t="str">
        <x:v>dreamschannelive</x:v>
      </x:c>
      <x:c r="B14" s="210" t="str">
        <x:v>Dreamschannelive</x:v>
      </x:c>
      <x:c r="C14" s="210" t="str">
        <x:v>french</x:v>
      </x:c>
      <x:c r="D14" s="210" t="str"/>
      <x:c r="E14" s="210" t="str">
        <x:v>contact.dreamschannel@gmail.com</x:v>
      </x:c>
      <x:c r="F14" s="216" t="str">
        <x:v>8973</x:v>
      </x:c>
      <x:c r="G14" s="216" t="str">
        <x:v>517</x:v>
      </x:c>
      <x:c r="H14" s="210" t="str">
        <x:v>RPG,JRPG,Party-Based RPG,3D,Anime,Silent Protagonist,Villain Protagonist,Creature Collector,Turn-Based Combat,Fantasy</x:v>
      </x:c>
    </x:row>
    <x:row r="15" ht="46" customHeight="1">
      <x:c r="A15" s="210" t="str">
        <x:v>audaxsmoke</x:v>
      </x:c>
      <x:c r="B15" s="210" t="str">
        <x:v>AudaxSmoke</x:v>
      </x:c>
      <x:c r="C15" s="210" t="str">
        <x:v>english</x:v>
      </x:c>
      <x:c r="D15" s="210" t="str"/>
      <x:c r="E15" s="210" t="str">
        <x:v>audaxsmoke@gmail.com</x:v>
      </x:c>
      <x:c r="F15" s="216" t="str">
        <x:v>1875</x:v>
      </x:c>
      <x:c r="G15" s="216" t="str">
        <x:v>137</x:v>
      </x:c>
      <x:c r="H15" s="210" t="str">
        <x:v>RPG,JRPG,Party-Based RPG,3D,Anime,Silent Protagonist,Villain Protagonist,Creature Collector,Turn-Based Combat,Fantasy</x:v>
      </x:c>
    </x:row>
    <x:row r="16" ht="46" customHeight="1">
      <x:c r="A16" s="210" t="str">
        <x:v>aledreamgameon</x:v>
      </x:c>
      <x:c r="B16" s="210" t="str">
        <x:v>ALEDreamgameon</x:v>
      </x:c>
      <x:c r="C16" s="210" t="str">
        <x:v>english</x:v>
      </x:c>
      <x:c r="D16" s="210" t="str"/>
      <x:c r="E16" s="210" t="str">
        <x:v>ALEDream@aledream.com</x:v>
      </x:c>
      <x:c r="F16" s="216" t="str">
        <x:v>7250</x:v>
      </x:c>
      <x:c r="G16" s="216" t="str">
        <x:v>108</x:v>
      </x:c>
      <x:c r="H16" s="210" t="str">
        <x:v>Casual,Singleplayer,3D,PvP,Multiplayer,Action,Strategy,Horror,First-Person,Local Multiplayer</x:v>
      </x:c>
    </x:row>
  </x:sheetData>
  <x:pageMargins left="0.7" right="0.7" top="0.75" bottom="0.75" header="0.3" footer="0.3"/>
  <x:tableParts count="1">
    <x:tablePart xmlns:r="http://schemas.openxmlformats.org/officeDocument/2006/relationships" r:id="Rc63206681f5941f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9" hidden="0" customWidth="1"/>
    <x:col min="5" max="5" width="31" hidden="0" customWidth="1"/>
    <x:col min="6" max="6" width="15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22" hidden="0" customWidth="1"/>
    <x:col min="12" max="12" width="52" hidden="0" customWidth="1"/>
    <x:col min="13" max="13" width="38" hidden="0" customWidth="1"/>
    <x:col min="14" max="14" width="11" hidden="0" customWidth="1"/>
    <x:col min="15" max="15" width="13" hidden="0" customWidth="1"/>
    <x:col min="16" max="16" width="13" hidden="0" customWidth="1"/>
    <x:col min="17" max="17" width="11" hidden="0" customWidth="1"/>
    <x:col min="18" max="18" width="27" hidden="0" customWidth="1"/>
    <x:col min="19" max="19" width="17" hidden="0" customWidth="1"/>
    <x:col min="20" max="20" width="14" hidden="0" customWidth="1"/>
    <x:col min="21" max="21" width="10" hidden="0" customWidth="1"/>
    <x:col min="22" max="22" width="36" hidden="0" customWidth="1"/>
    <x:col min="23" max="23" width="31" hidden="0" customWidth="1"/>
    <x:col min="24" max="24" width="31" hidden="0" customWidth="1"/>
  </x:cols>
  <x:sheetData>
    <x:row r="1" ht="30" customHeight="1">
      <x:c r="A1" s="114" t="str">
        <x:v>Marque &amp; Reprisal – Streamer Outreach</x:v>
      </x:c>
      <x:c r="B1" s="114"/>
      <x:c r="C1" s="114"/>
      <x:c r="D1" s="114"/>
      <x:c r="E1" s="114"/>
      <x:c r="F1" s="114"/>
      <x:c r="G1" s="114"/>
      <x:c r="H1" s="114"/>
      <x:c r="I1" s="114"/>
      <x:c r="J1" s="114"/>
      <x:c r="K1" s="114"/>
      <x:c r="L1" s="114"/>
      <x:c r="M1" s="114"/>
      <x:c r="N1" s="114"/>
      <x:c r="O1" s="114"/>
      <x:c r="P1" s="114"/>
      <x:c r="Q1" s="114"/>
      <x:c r="R1" s="114"/>
      <x:c r="S1" s="114"/>
      <x:c r="T1" s="114"/>
      <x:c r="U1" s="114"/>
      <x:c r="V1" s="114"/>
      <x:c r="W1" s="114"/>
      <x:c r="X1" s="114"/>
    </x:row>
    <x:row r="2" ht="34" customHeight="1">
      <x:c r="A2" s="130" t="str">
        <x:v>Seed list: streamers_sample.csv downloaded 2026-07-24. Seedbomb snapshot date unknown. Re-verify channel activity, audience data, and the public business email before sending a key.</x:v>
      </x:c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31"/>
      <x:c r="R2" s="131"/>
      <x:c r="S2" s="131"/>
      <x:c r="T2" s="131"/>
      <x:c r="U2" s="131"/>
      <x:c r="V2" s="131"/>
      <x:c r="W2" s="131"/>
      <x:c r="X2" s="132"/>
    </x:row>
    <x:row r="4" ht="24" customHeight="1">
      <x:c r="A4" s="142" t="str">
        <x:v>Seedbomb candidates</x:v>
      </x:c>
      <x:c r="B4" s="143" t="n">
        <x:v>15</x:v>
      </x:c>
      <x:c r="D4" s="142" t="str">
        <x:v>First wave</x:v>
      </x:c>
      <x:c r="E4" s="143" t="n">
        <x:v>2</x:v>
      </x:c>
      <x:c r="G4" s="142" t="str">
        <x:v>Second wave</x:v>
      </x:c>
      <x:c r="H4" s="143" t="n">
        <x:v>6</x:v>
      </x:c>
      <x:c r="J4" s="142" t="str">
        <x:v>Localized language</x:v>
      </x:c>
      <x:c r="K4" s="143" t="n">
        <x:v>14</x:v>
      </x:c>
      <x:c r="M4" s="142" t="str">
        <x:v>Needs verification</x:v>
      </x:c>
      <x:c r="N4" s="143" t="n">
        <x:v>15</x:v>
      </x:c>
    </x:row>
    <x:row r="7" ht="34" customHeight="1">
      <x:c r="A7" s="160" t="str">
        <x:v>Priority</x:v>
      </x:c>
      <x:c r="B7" s="161" t="str">
        <x:v>Wave</x:v>
      </x:c>
      <x:c r="C7" s="161" t="str">
        <x:v>Creator</x:v>
      </x:c>
      <x:c r="D7" s="161" t="str">
        <x:v>Twitch handle</x:v>
      </x:c>
      <x:c r="E7" s="161" t="str">
        <x:v>Public business email</x:v>
      </x:c>
      <x:c r="F7" s="161" t="str">
        <x:v>Primary language</x:v>
      </x:c>
      <x:c r="G7" s="161" t="str">
        <x:v>Secondary language</x:v>
      </x:c>
      <x:c r="H7" s="161" t="str">
        <x:v>Language fit</x:v>
      </x:c>
      <x:c r="I7" s="161" t="str">
        <x:v>Followers (Seedbomb)</x:v>
      </x:c>
      <x:c r="J7" s="161" t="str">
        <x:v>Avg viewers (Seedbomb)</x:v>
      </x:c>
      <x:c r="K7" s="161" t="str">
        <x:v>Audience tier</x:v>
      </x:c>
      <x:c r="L7" s="161" t="str">
        <x:v>Seedbomb top tags</x:v>
      </x:c>
      <x:c r="M7" s="161" t="str">
        <x:v>Fit notes</x:v>
      </x:c>
      <x:c r="N7" s="161" t="str">
        <x:v>Tag score</x:v>
      </x:c>
      <x:c r="O7" s="161" t="str">
        <x:v>Audience score</x:v>
      </x:c>
      <x:c r="P7" s="161" t="str">
        <x:v>Language score</x:v>
      </x:c>
      <x:c r="Q7" s="161" t="str">
        <x:v>Total score</x:v>
      </x:c>
      <x:c r="R7" s="161" t="str">
        <x:v>Verification</x:v>
      </x:c>
      <x:c r="S7" s="161" t="str">
        <x:v>Outreach status</x:v>
      </x:c>
      <x:c r="T7" s="161" t="str">
        <x:v>Last contacted</x:v>
      </x:c>
      <x:c r="U7" s="161" t="str">
        <x:v>Key sent</x:v>
      </x:c>
      <x:c r="V7" s="161" t="str">
        <x:v>Response / coverage</x:v>
      </x:c>
      <x:c r="W7" s="161" t="str">
        <x:v>Channel URL</x:v>
      </x:c>
      <x:c r="X7" s="162" t="str">
        <x:v>Source</x:v>
      </x:c>
    </x:row>
    <x:row r="8" ht="54" customHeight="1">
      <x:c r="A8" s="180" t="str">
        <x:f>IF(Q8&gt;='Scoring'!$F$4,"A - First wave",IF(Q8&gt;='Scoring'!$F$5,"B - Second wave",IF(Q8&gt;='Scoring'!$F$6,"C - Later","D - Skip")))</x:f>
        <x:v>B - Second wave</x:v>
      </x:c>
      <x:c r="B8" s="180" t="str">
        <x:f>IF(A8="A - First wave","1 - Initial outreach",IF(A8="B - Second wave","2 - Follow-on",IF(A8="C - Later","3 - Opportunistic","Hold")))</x:f>
        <x:v>2 - Follow-on</x:v>
      </x:c>
      <x:c r="C8" s="180" t="str">
        <x:f>'Seedbomb Source'!B2</x:f>
        <x:v>nowgameplay1</x:v>
      </x:c>
      <x:c r="D8" s="180" t="str">
        <x:f>'Seedbomb Source'!A2</x:f>
        <x:v>nowgameplay1</x:v>
      </x:c>
      <x:c r="E8" s="180" t="str">
        <x:f>'Seedbomb Source'!E2</x:f>
        <x:v>gabrielletsplaynow@gmail.com</x:v>
      </x:c>
      <x:c r="F8" s="180" t="str">
        <x:f>'Seedbomb Source'!C2</x:f>
        <x:v>english</x:v>
      </x:c>
      <x:c r="G8" s="180" t="str">
        <x:f>IF('Seedbomb Source'!D2="","",'Seedbomb Source'!D2)</x:f>
      </x:c>
      <x:c r="H8" s="180" t="str">
        <x:f>IF(OR(COUNTIF('Scoring'!$M$4:$M$14,F8)&gt;0,COUNTIF('Scoring'!$M$4:$M$14,G8)&gt;0),"Supported","Not localized")</x:f>
        <x:v>Supported</x:v>
      </x:c>
      <x:c r="I8" s="186" t="str">
        <x:f>'Seedbomb Source'!F2</x:f>
        <x:v>2337</x:v>
      </x:c>
      <x:c r="J8" s="186" t="str">
        <x:f>'Seedbomb Source'!G2</x:f>
        <x:v>144</x:v>
      </x:c>
      <x:c r="K8" s="180" t="str">
        <x:f>IF(J8&gt;='Scoring'!$I$7,'Scoring'!$K$7,IF(J8&gt;='Scoring'!$I$6,'Scoring'!$K$6,IF(J8&gt;='Scoring'!$I$5,'Scoring'!$K$5,'Scoring'!$K$4)))</x:f>
        <x:v>Small/mid sweet spot</x:v>
      </x:c>
      <x:c r="L8" s="180" t="str">
        <x:f>'Seedbomb Source'!H2</x:f>
        <x:v>Fantasy,Tactical RPG,Turn-Based Tactics,Roguelite,Story Rich,Turn-Based,Puzzle,Turn-Based Strategy,Roguelike,Strategy</x:v>
      </x:c>
      <x:c r="M8" s="180" t="str">
        <x:v>Strong match: Roguelike, Roguelite, Strategy, RPG.</x:v>
      </x:c>
      <x:c r="N8" s="192" t="n">
        <x:f>IF(ISNUMBER(SEARCH('Scoring'!$A$4,L8)),'Scoring'!$B$4,0)+IF(ISNUMBER(SEARCH('Scoring'!$A$5,L8)),'Scoring'!$B$5,0)+IF(ISNUMBER(SEARCH('Scoring'!$A$6,L8)),'Scoring'!$B$6,0)+IF(ISNUMBER(SEARCH('Scoring'!$A$7,L8)),'Scoring'!$B$7,0)+IF(ISNUMBER(SEARCH('Scoring'!$A$8,L8)),'Scoring'!$B$8,0)+IF(ISNUMBER(SEARCH('Scoring'!$A$9,L8)),'Scoring'!$B$9,0)+IF(ISNUMBER(SEARCH('Scoring'!$A$10,L8)),'Scoring'!$B$10,0)+IF(ISNUMBER(SEARCH('Scoring'!$A$11,L8)),'Scoring'!$B$11,0)+IF(ISNUMBER(SEARCH('Scoring'!$A$12,L8)),'Scoring'!$B$12,0)+IF(ISNUMBER(SEARCH('Scoring'!$A$13,L8)),'Scoring'!$B$13,0)+IF(ISNUMBER(SEARCH('Scoring'!$A$14,L8)),'Scoring'!$B$14,0)+IF(ISNUMBER(SEARCH('Scoring'!$A$15,L8)),'Scoring'!$B$15,0)+IF(ISNUMBER(SEARCH('Scoring'!$A$16,L8)),'Scoring'!$B$16,0)+IF(ISNUMBER(SEARCH('Scoring'!$A$17,L8)),'Scoring'!$B$17,0)+IF(ISNUMBER(SEARCH('Scoring'!$A$18,L8)),'Scoring'!$B$18,0)+IF(ISNUMBER(SEARCH('Scoring'!$A$19,L8)),'Scoring'!$B$19,0)+IF(ISNUMBER(SEARCH('Scoring'!$A$20,L8)),'Scoring'!$B$20,0)+IF(ISNUMBER(SEARCH('Scoring'!$A$21,L8)),'Scoring'!$B$21,0)+IF(ISNUMBER(SEARCH('Scoring'!$A$22,L8)),'Scoring'!$B$22,0)</x:f>
        <x:v>9</x:v>
      </x:c>
      <x:c r="O8" s="192" t="n">
        <x:f>IF(J8&gt;='Scoring'!$I$7,'Scoring'!$J$7,IF(J8&gt;='Scoring'!$I$6,'Scoring'!$J$6,IF(J8&gt;='Scoring'!$I$5,'Scoring'!$J$5,'Scoring'!$J$4)))</x:f>
        <x:v>4</x:v>
      </x:c>
      <x:c r="P8" s="192" t="n">
        <x:f>IF(H8="Supported",'Scoring'!$F$11,'Scoring'!$F$12)</x:f>
        <x:v>2</x:v>
      </x:c>
      <x:c r="Q8" s="192" t="n">
        <x:f>SUM(N8:P8)</x:f>
        <x:v>15</x:v>
      </x:c>
      <x:c r="R8" s="180" t="str">
        <x:v>Unverified – Seedbomb snapshot</x:v>
      </x:c>
      <x:c r="S8" s="180" t="str">
        <x:v>Not contacted</x:v>
      </x:c>
      <x:c r="T8" s="198"/>
      <x:c r="U8" s="180" t="str">
        <x:v>No</x:v>
      </x:c>
      <x:c r="V8" s="180"/>
      <x:c r="W8" s="180" t="str">
        <x:f>"https://www.twitch.tv/"&amp;D8</x:f>
        <x:v>https://www.twitch.tv/nowgameplay1</x:v>
      </x:c>
      <x:c r="X8" s="180" t="str">
        <x:v>Seedbomb streamers_sample.csv; downloaded 2026-07-24; snapshot date unknown</x:v>
      </x:c>
    </x:row>
    <x:row r="9" ht="54" customHeight="1">
      <x:c r="A9" s="181" t="str">
        <x:f>IF(Q9&gt;='Scoring'!$F$4,"A - First wave",IF(Q9&gt;='Scoring'!$F$5,"B - Second wave",IF(Q9&gt;='Scoring'!$F$6,"C - Later","D - Skip")))</x:f>
        <x:v>B - Second wave</x:v>
      </x:c>
      <x:c r="B9" s="181" t="str">
        <x:f>IF(A9="A - First wave","1 - Initial outreach",IF(A9="B - Second wave","2 - Follow-on",IF(A9="C - Later","3 - Opportunistic","Hold")))</x:f>
        <x:v>2 - Follow-on</x:v>
      </x:c>
      <x:c r="C9" s="181" t="str">
        <x:f>'Seedbomb Source'!B3</x:f>
        <x:v>CekterDown</x:v>
      </x:c>
      <x:c r="D9" s="181" t="str">
        <x:f>'Seedbomb Source'!A3</x:f>
        <x:v>cekterdown</x:v>
      </x:c>
      <x:c r="E9" s="181" t="str">
        <x:f>'Seedbomb Source'!E3</x:f>
        <x:v>levelartblog@gmail.com</x:v>
      </x:c>
      <x:c r="F9" s="181" t="str">
        <x:f>'Seedbomb Source'!C3</x:f>
        <x:v>french</x:v>
      </x:c>
      <x:c r="G9" s="181" t="str">
        <x:f>IF('Seedbomb Source'!D3="","",'Seedbomb Source'!D3)</x:f>
      </x:c>
      <x:c r="H9" s="181" t="str">
        <x:f>IF(OR(COUNTIF('Scoring'!$M$4:$M$14,F9)&gt;0,COUNTIF('Scoring'!$M$4:$M$14,G9)&gt;0),"Supported","Not localized")</x:f>
        <x:v>Supported</x:v>
      </x:c>
      <x:c r="I9" s="187" t="str">
        <x:f>'Seedbomb Source'!F3</x:f>
        <x:v>939</x:v>
      </x:c>
      <x:c r="J9" s="187" t="str">
        <x:f>'Seedbomb Source'!G3</x:f>
        <x:v>215</x:v>
      </x:c>
      <x:c r="K9" s="181" t="str">
        <x:f>IF(J9&gt;='Scoring'!$I$7,'Scoring'!$K$7,IF(J9&gt;='Scoring'!$I$6,'Scoring'!$K$6,IF(J9&gt;='Scoring'!$I$5,'Scoring'!$K$5,'Scoring'!$K$4)))</x:f>
        <x:v>Small/mid sweet spot</x:v>
      </x:c>
      <x:c r="L9" s="181" t="str">
        <x:f>'Seedbomb Source'!H3</x:f>
        <x:v>Singleplayer,Story Rich,RPG,Action,Adventure,Fantasy,Exploration,Puzzle,Combat,First-Person</x:v>
      </x:c>
      <x:c r="M9" s="181" t="str">
        <x:v>Strong match: Exploration, Adventure, RPG, Singleplayer.</x:v>
      </x:c>
      <x:c r="N9" s="193" t="n">
        <x:f>IF(ISNUMBER(SEARCH('Scoring'!$A$4,L9)),'Scoring'!$B$4,0)+IF(ISNUMBER(SEARCH('Scoring'!$A$5,L9)),'Scoring'!$B$5,0)+IF(ISNUMBER(SEARCH('Scoring'!$A$6,L9)),'Scoring'!$B$6,0)+IF(ISNUMBER(SEARCH('Scoring'!$A$7,L9)),'Scoring'!$B$7,0)+IF(ISNUMBER(SEARCH('Scoring'!$A$8,L9)),'Scoring'!$B$8,0)+IF(ISNUMBER(SEARCH('Scoring'!$A$9,L9)),'Scoring'!$B$9,0)+IF(ISNUMBER(SEARCH('Scoring'!$A$10,L9)),'Scoring'!$B$10,0)+IF(ISNUMBER(SEARCH('Scoring'!$A$11,L9)),'Scoring'!$B$11,0)+IF(ISNUMBER(SEARCH('Scoring'!$A$12,L9)),'Scoring'!$B$12,0)+IF(ISNUMBER(SEARCH('Scoring'!$A$13,L9)),'Scoring'!$B$13,0)+IF(ISNUMBER(SEARCH('Scoring'!$A$14,L9)),'Scoring'!$B$14,0)+IF(ISNUMBER(SEARCH('Scoring'!$A$15,L9)),'Scoring'!$B$15,0)+IF(ISNUMBER(SEARCH('Scoring'!$A$16,L9)),'Scoring'!$B$16,0)+IF(ISNUMBER(SEARCH('Scoring'!$A$17,L9)),'Scoring'!$B$17,0)+IF(ISNUMBER(SEARCH('Scoring'!$A$18,L9)),'Scoring'!$B$18,0)+IF(ISNUMBER(SEARCH('Scoring'!$A$19,L9)),'Scoring'!$B$19,0)+IF(ISNUMBER(SEARCH('Scoring'!$A$20,L9)),'Scoring'!$B$20,0)+IF(ISNUMBER(SEARCH('Scoring'!$A$21,L9)),'Scoring'!$B$21,0)+IF(ISNUMBER(SEARCH('Scoring'!$A$22,L9)),'Scoring'!$B$22,0)</x:f>
        <x:v>6</x:v>
      </x:c>
      <x:c r="O9" s="193" t="n">
        <x:f>IF(J9&gt;='Scoring'!$I$7,'Scoring'!$J$7,IF(J9&gt;='Scoring'!$I$6,'Scoring'!$J$6,IF(J9&gt;='Scoring'!$I$5,'Scoring'!$J$5,'Scoring'!$J$4)))</x:f>
        <x:v>4</x:v>
      </x:c>
      <x:c r="P9" s="193" t="n">
        <x:f>IF(H9="Supported",'Scoring'!$F$11,'Scoring'!$F$12)</x:f>
        <x:v>2</x:v>
      </x:c>
      <x:c r="Q9" s="193" t="n">
        <x:f>SUM(N9:P9)</x:f>
        <x:v>12</x:v>
      </x:c>
      <x:c r="R9" s="181" t="str">
        <x:v>Unverified – Seedbomb snapshot</x:v>
      </x:c>
      <x:c r="S9" s="181" t="str">
        <x:v>Not contacted</x:v>
      </x:c>
      <x:c r="T9" s="199"/>
      <x:c r="U9" s="181" t="str">
        <x:v>No</x:v>
      </x:c>
      <x:c r="V9" s="181"/>
      <x:c r="W9" s="181" t="str">
        <x:f>"https://www.twitch.tv/"&amp;D9</x:f>
        <x:v>https://www.twitch.tv/cekterdown</x:v>
      </x:c>
      <x:c r="X9" s="181" t="str">
        <x:v>Seedbomb streamers_sample.csv; downloaded 2026-07-24; snapshot date unknown</x:v>
      </x:c>
    </x:row>
    <x:row r="10" ht="54" customHeight="1">
      <x:c r="A10" s="181" t="str">
        <x:f>IF(Q10&gt;='Scoring'!$F$4,"A - First wave",IF(Q10&gt;='Scoring'!$F$5,"B - Second wave",IF(Q10&gt;='Scoring'!$F$6,"C - Later","D - Skip")))</x:f>
        <x:v>B - Second wave</x:v>
      </x:c>
      <x:c r="B10" s="181" t="str">
        <x:f>IF(A10="A - First wave","1 - Initial outreach",IF(A10="B - Second wave","2 - Follow-on",IF(A10="C - Later","3 - Opportunistic","Hold")))</x:f>
        <x:v>2 - Follow-on</x:v>
      </x:c>
      <x:c r="C10" s="181" t="str">
        <x:f>'Seedbomb Source'!B4</x:f>
        <x:v>nl_Kripp</x:v>
      </x:c>
      <x:c r="D10" s="181" t="str">
        <x:f>'Seedbomb Source'!A4</x:f>
        <x:v>nl_kripp</x:v>
      </x:c>
      <x:c r="E10" s="181" t="str">
        <x:f>'Seedbomb Source'!E4</x:f>
        <x:v>om.kripp@gmail.com</x:v>
      </x:c>
      <x:c r="F10" s="181" t="str">
        <x:f>'Seedbomb Source'!C4</x:f>
        <x:v>english</x:v>
      </x:c>
      <x:c r="G10" s="181" t="str">
        <x:f>IF('Seedbomb Source'!D4="","",'Seedbomb Source'!D4)</x:f>
      </x:c>
      <x:c r="H10" s="181" t="str">
        <x:f>IF(OR(COUNTIF('Scoring'!$M$4:$M$14,F10)&gt;0,COUNTIF('Scoring'!$M$4:$M$14,G10)&gt;0),"Supported","Not localized")</x:f>
        <x:v>Supported</x:v>
      </x:c>
      <x:c r="I10" s="187" t="str">
        <x:f>'Seedbomb Source'!F4</x:f>
        <x:v>1530486</x:v>
      </x:c>
      <x:c r="J10" s="187" t="str">
        <x:f>'Seedbomb Source'!G4</x:f>
        <x:v>1860</x:v>
      </x:c>
      <x:c r="K10" s="181" t="str">
        <x:f>IF(J10&gt;='Scoring'!$I$7,'Scoring'!$K$7,IF(J10&gt;='Scoring'!$I$6,'Scoring'!$K$6,IF(J10&gt;='Scoring'!$I$5,'Scoring'!$K$5,'Scoring'!$K$4)))</x:f>
        <x:v>Mid-sized</x:v>
      </x:c>
      <x:c r="L10" s="181" t="str">
        <x:f>'Seedbomb Source'!H4</x:f>
        <x:v>Strategy,Roguelite,RPG,Turn-Based Tactics,Turn-Based,Roguelike,Tactical RPG,Turn-Based Strategy,Turn-Based Combat,Choices Matter</x:v>
      </x:c>
      <x:c r="M10" s="181" t="str">
        <x:v>Strong match: Roguelike, Roguelite, Strategy, RPG.</x:v>
      </x:c>
      <x:c r="N10" s="193" t="n">
        <x:f>IF(ISNUMBER(SEARCH('Scoring'!$A$4,L10)),'Scoring'!$B$4,0)+IF(ISNUMBER(SEARCH('Scoring'!$A$5,L10)),'Scoring'!$B$5,0)+IF(ISNUMBER(SEARCH('Scoring'!$A$6,L10)),'Scoring'!$B$6,0)+IF(ISNUMBER(SEARCH('Scoring'!$A$7,L10)),'Scoring'!$B$7,0)+IF(ISNUMBER(SEARCH('Scoring'!$A$8,L10)),'Scoring'!$B$8,0)+IF(ISNUMBER(SEARCH('Scoring'!$A$9,L10)),'Scoring'!$B$9,0)+IF(ISNUMBER(SEARCH('Scoring'!$A$10,L10)),'Scoring'!$B$10,0)+IF(ISNUMBER(SEARCH('Scoring'!$A$11,L10)),'Scoring'!$B$11,0)+IF(ISNUMBER(SEARCH('Scoring'!$A$12,L10)),'Scoring'!$B$12,0)+IF(ISNUMBER(SEARCH('Scoring'!$A$13,L10)),'Scoring'!$B$13,0)+IF(ISNUMBER(SEARCH('Scoring'!$A$14,L10)),'Scoring'!$B$14,0)+IF(ISNUMBER(SEARCH('Scoring'!$A$15,L10)),'Scoring'!$B$15,0)+IF(ISNUMBER(SEARCH('Scoring'!$A$16,L10)),'Scoring'!$B$16,0)+IF(ISNUMBER(SEARCH('Scoring'!$A$17,L10)),'Scoring'!$B$17,0)+IF(ISNUMBER(SEARCH('Scoring'!$A$18,L10)),'Scoring'!$B$18,0)+IF(ISNUMBER(SEARCH('Scoring'!$A$19,L10)),'Scoring'!$B$19,0)+IF(ISNUMBER(SEARCH('Scoring'!$A$20,L10)),'Scoring'!$B$20,0)+IF(ISNUMBER(SEARCH('Scoring'!$A$21,L10)),'Scoring'!$B$21,0)+IF(ISNUMBER(SEARCH('Scoring'!$A$22,L10)),'Scoring'!$B$22,0)</x:f>
        <x:v>9</x:v>
      </x:c>
      <x:c r="O10" s="193" t="n">
        <x:f>IF(J10&gt;='Scoring'!$I$7,'Scoring'!$J$7,IF(J10&gt;='Scoring'!$I$6,'Scoring'!$J$6,IF(J10&gt;='Scoring'!$I$5,'Scoring'!$J$5,'Scoring'!$J$4)))</x:f>
        <x:v>2</x:v>
      </x:c>
      <x:c r="P10" s="193" t="n">
        <x:f>IF(H10="Supported",'Scoring'!$F$11,'Scoring'!$F$12)</x:f>
        <x:v>2</x:v>
      </x:c>
      <x:c r="Q10" s="193" t="n">
        <x:f>SUM(N10:P10)</x:f>
        <x:v>13</x:v>
      </x:c>
      <x:c r="R10" s="181" t="str">
        <x:v>Unverified – Seedbomb snapshot</x:v>
      </x:c>
      <x:c r="S10" s="181" t="str">
        <x:v>Not contacted</x:v>
      </x:c>
      <x:c r="T10" s="199"/>
      <x:c r="U10" s="181" t="str">
        <x:v>No</x:v>
      </x:c>
      <x:c r="V10" s="181"/>
      <x:c r="W10" s="181" t="str">
        <x:f>"https://www.twitch.tv/"&amp;D10</x:f>
        <x:v>https://www.twitch.tv/nl_kripp</x:v>
      </x:c>
      <x:c r="X10" s="181" t="str">
        <x:v>Seedbomb streamers_sample.csv; downloaded 2026-07-24; snapshot date unknown</x:v>
      </x:c>
    </x:row>
    <x:row r="11" ht="54" customHeight="1">
      <x:c r="A11" s="181" t="str">
        <x:f>IF(Q11&gt;='Scoring'!$F$4,"A - First wave",IF(Q11&gt;='Scoring'!$F$5,"B - Second wave",IF(Q11&gt;='Scoring'!$F$6,"C - Later","D - Skip")))</x:f>
        <x:v>A - First wave</x:v>
      </x:c>
      <x:c r="B11" s="181" t="str">
        <x:f>IF(A11="A - First wave","1 - Initial outreach",IF(A11="B - Second wave","2 - Follow-on",IF(A11="C - Later","3 - Opportunistic","Hold")))</x:f>
        <x:v>1 - Initial outreach</x:v>
      </x:c>
      <x:c r="C11" s="181" t="str">
        <x:f>'Seedbomb Source'!B5</x:f>
        <x:v>arvidthemusic</x:v>
      </x:c>
      <x:c r="D11" s="181" t="str">
        <x:f>'Seedbomb Source'!A5</x:f>
        <x:v>arvidthemusic</x:v>
      </x:c>
      <x:c r="E11" s="181" t="str">
        <x:f>'Seedbomb Source'!E5</x:f>
        <x:v>arvidthemusic@gmail.com</x:v>
      </x:c>
      <x:c r="F11" s="181" t="str">
        <x:f>'Seedbomb Source'!C5</x:f>
        <x:v>english</x:v>
      </x:c>
      <x:c r="G11" s="181" t="str">
        <x:f>IF('Seedbomb Source'!D5="","",'Seedbomb Source'!D5)</x:f>
      </x:c>
      <x:c r="H11" s="181" t="str">
        <x:f>IF(OR(COUNTIF('Scoring'!$M$4:$M$14,F11)&gt;0,COUNTIF('Scoring'!$M$4:$M$14,G11)&gt;0),"Supported","Not localized")</x:f>
        <x:v>Supported</x:v>
      </x:c>
      <x:c r="I11" s="187" t="str">
        <x:f>'Seedbomb Source'!F5</x:f>
        <x:v>1053</x:v>
      </x:c>
      <x:c r="J11" s="187" t="str">
        <x:f>'Seedbomb Source'!G5</x:f>
        <x:v>246</x:v>
      </x:c>
      <x:c r="K11" s="181" t="str">
        <x:f>IF(J11&gt;='Scoring'!$I$7,'Scoring'!$K$7,IF(J11&gt;='Scoring'!$I$6,'Scoring'!$K$6,IF(J11&gt;='Scoring'!$I$5,'Scoring'!$K$5,'Scoring'!$K$4)))</x:f>
        <x:v>Small/mid sweet spot</x:v>
      </x:c>
      <x:c r="L11" s="181" t="str">
        <x:f>'Seedbomb Source'!H5</x:f>
        <x:v>First-Person,Singleplayer,Simulation,3D,Realistic,Casual,Exploration,Immersive Sim,Early Access,Multiplayer</x:v>
      </x:c>
      <x:c r="M11" s="181" t="str">
        <x:v>Strong match: Simulation, Exploration, Immersive Sim, Singleplayer.</x:v>
      </x:c>
      <x:c r="N11" s="193" t="n">
        <x:f>IF(ISNUMBER(SEARCH('Scoring'!$A$4,L11)),'Scoring'!$B$4,0)+IF(ISNUMBER(SEARCH('Scoring'!$A$5,L11)),'Scoring'!$B$5,0)+IF(ISNUMBER(SEARCH('Scoring'!$A$6,L11)),'Scoring'!$B$6,0)+IF(ISNUMBER(SEARCH('Scoring'!$A$7,L11)),'Scoring'!$B$7,0)+IF(ISNUMBER(SEARCH('Scoring'!$A$8,L11)),'Scoring'!$B$8,0)+IF(ISNUMBER(SEARCH('Scoring'!$A$9,L11)),'Scoring'!$B$9,0)+IF(ISNUMBER(SEARCH('Scoring'!$A$10,L11)),'Scoring'!$B$10,0)+IF(ISNUMBER(SEARCH('Scoring'!$A$11,L11)),'Scoring'!$B$11,0)+IF(ISNUMBER(SEARCH('Scoring'!$A$12,L11)),'Scoring'!$B$12,0)+IF(ISNUMBER(SEARCH('Scoring'!$A$13,L11)),'Scoring'!$B$13,0)+IF(ISNUMBER(SEARCH('Scoring'!$A$14,L11)),'Scoring'!$B$14,0)+IF(ISNUMBER(SEARCH('Scoring'!$A$15,L11)),'Scoring'!$B$15,0)+IF(ISNUMBER(SEARCH('Scoring'!$A$16,L11)),'Scoring'!$B$16,0)+IF(ISNUMBER(SEARCH('Scoring'!$A$17,L11)),'Scoring'!$B$17,0)+IF(ISNUMBER(SEARCH('Scoring'!$A$18,L11)),'Scoring'!$B$18,0)+IF(ISNUMBER(SEARCH('Scoring'!$A$19,L11)),'Scoring'!$B$19,0)+IF(ISNUMBER(SEARCH('Scoring'!$A$20,L11)),'Scoring'!$B$20,0)+IF(ISNUMBER(SEARCH('Scoring'!$A$21,L11)),'Scoring'!$B$21,0)+IF(ISNUMBER(SEARCH('Scoring'!$A$22,L11)),'Scoring'!$B$22,0)</x:f>
        <x:v>11</x:v>
      </x:c>
      <x:c r="O11" s="193" t="n">
        <x:f>IF(J11&gt;='Scoring'!$I$7,'Scoring'!$J$7,IF(J11&gt;='Scoring'!$I$6,'Scoring'!$J$6,IF(J11&gt;='Scoring'!$I$5,'Scoring'!$J$5,'Scoring'!$J$4)))</x:f>
        <x:v>4</x:v>
      </x:c>
      <x:c r="P11" s="193" t="n">
        <x:f>IF(H11="Supported",'Scoring'!$F$11,'Scoring'!$F$12)</x:f>
        <x:v>2</x:v>
      </x:c>
      <x:c r="Q11" s="193" t="n">
        <x:f>SUM(N11:P11)</x:f>
        <x:v>17</x:v>
      </x:c>
      <x:c r="R11" s="181" t="str">
        <x:v>Unverified – Seedbomb snapshot</x:v>
      </x:c>
      <x:c r="S11" s="181" t="str">
        <x:v>Not contacted</x:v>
      </x:c>
      <x:c r="T11" s="199"/>
      <x:c r="U11" s="181" t="str">
        <x:v>No</x:v>
      </x:c>
      <x:c r="V11" s="181"/>
      <x:c r="W11" s="181" t="str">
        <x:f>"https://www.twitch.tv/"&amp;D11</x:f>
        <x:v>https://www.twitch.tv/arvidthemusic</x:v>
      </x:c>
      <x:c r="X11" s="181" t="str">
        <x:v>Seedbomb streamers_sample.csv; downloaded 2026-07-24; snapshot date unknown</x:v>
      </x:c>
    </x:row>
    <x:row r="12" ht="54" customHeight="1">
      <x:c r="A12" s="181" t="str">
        <x:f>IF(Q12&gt;='Scoring'!$F$4,"A - First wave",IF(Q12&gt;='Scoring'!$F$5,"B - Second wave",IF(Q12&gt;='Scoring'!$F$6,"C - Later","D - Skip")))</x:f>
        <x:v>A - First wave</x:v>
      </x:c>
      <x:c r="B12" s="181" t="str">
        <x:f>IF(A12="A - First wave","1 - Initial outreach",IF(A12="B - Second wave","2 - Follow-on",IF(A12="C - Later","3 - Opportunistic","Hold")))</x:f>
        <x:v>1 - Initial outreach</x:v>
      </x:c>
      <x:c r="C12" s="181" t="str">
        <x:f>'Seedbomb Source'!B6</x:f>
        <x:v>MoDoze_</x:v>
      </x:c>
      <x:c r="D12" s="181" t="str">
        <x:f>'Seedbomb Source'!A6</x:f>
        <x:v>modoze_</x:v>
      </x:c>
      <x:c r="E12" s="181" t="str">
        <x:f>'Seedbomb Source'!E6</x:f>
        <x:v>ContactMoDoze@gmail.com</x:v>
      </x:c>
      <x:c r="F12" s="181" t="str">
        <x:f>'Seedbomb Source'!C6</x:f>
        <x:v>english</x:v>
      </x:c>
      <x:c r="G12" s="181" t="str">
        <x:f>IF('Seedbomb Source'!D6="","",'Seedbomb Source'!D6)</x:f>
      </x:c>
      <x:c r="H12" s="181" t="str">
        <x:f>IF(OR(COUNTIF('Scoring'!$M$4:$M$14,F12)&gt;0,COUNTIF('Scoring'!$M$4:$M$14,G12)&gt;0),"Supported","Not localized")</x:f>
        <x:v>Supported</x:v>
      </x:c>
      <x:c r="I12" s="187" t="str">
        <x:f>'Seedbomb Source'!F6</x:f>
        <x:v>3504</x:v>
      </x:c>
      <x:c r="J12" s="187" t="str">
        <x:f>'Seedbomb Source'!G6</x:f>
        <x:v>372</x:v>
      </x:c>
      <x:c r="K12" s="181" t="str">
        <x:f>IF(J12&gt;='Scoring'!$I$7,'Scoring'!$K$7,IF(J12&gt;='Scoring'!$I$6,'Scoring'!$K$6,IF(J12&gt;='Scoring'!$I$5,'Scoring'!$K$5,'Scoring'!$K$4)))</x:f>
        <x:v>Small/mid sweet spot</x:v>
      </x:c>
      <x:c r="L12" s="181" t="str">
        <x:f>'Seedbomb Source'!H6</x:f>
        <x:v>Casual,Simulation,3D,Multiplayer,Singleplayer,First-Person,Realistic,Online Co-Op,Exploration,Immersive Sim</x:v>
      </x:c>
      <x:c r="M12" s="181" t="str">
        <x:v>Strong match: Simulation, Exploration, Immersive Sim, Singleplayer.</x:v>
      </x:c>
      <x:c r="N12" s="193" t="n">
        <x:f>IF(ISNUMBER(SEARCH('Scoring'!$A$4,L12)),'Scoring'!$B$4,0)+IF(ISNUMBER(SEARCH('Scoring'!$A$5,L12)),'Scoring'!$B$5,0)+IF(ISNUMBER(SEARCH('Scoring'!$A$6,L12)),'Scoring'!$B$6,0)+IF(ISNUMBER(SEARCH('Scoring'!$A$7,L12)),'Scoring'!$B$7,0)+IF(ISNUMBER(SEARCH('Scoring'!$A$8,L12)),'Scoring'!$B$8,0)+IF(ISNUMBER(SEARCH('Scoring'!$A$9,L12)),'Scoring'!$B$9,0)+IF(ISNUMBER(SEARCH('Scoring'!$A$10,L12)),'Scoring'!$B$10,0)+IF(ISNUMBER(SEARCH('Scoring'!$A$11,L12)),'Scoring'!$B$11,0)+IF(ISNUMBER(SEARCH('Scoring'!$A$12,L12)),'Scoring'!$B$12,0)+IF(ISNUMBER(SEARCH('Scoring'!$A$13,L12)),'Scoring'!$B$13,0)+IF(ISNUMBER(SEARCH('Scoring'!$A$14,L12)),'Scoring'!$B$14,0)+IF(ISNUMBER(SEARCH('Scoring'!$A$15,L12)),'Scoring'!$B$15,0)+IF(ISNUMBER(SEARCH('Scoring'!$A$16,L12)),'Scoring'!$B$16,0)+IF(ISNUMBER(SEARCH('Scoring'!$A$17,L12)),'Scoring'!$B$17,0)+IF(ISNUMBER(SEARCH('Scoring'!$A$18,L12)),'Scoring'!$B$18,0)+IF(ISNUMBER(SEARCH('Scoring'!$A$19,L12)),'Scoring'!$B$19,0)+IF(ISNUMBER(SEARCH('Scoring'!$A$20,L12)),'Scoring'!$B$20,0)+IF(ISNUMBER(SEARCH('Scoring'!$A$21,L12)),'Scoring'!$B$21,0)+IF(ISNUMBER(SEARCH('Scoring'!$A$22,L12)),'Scoring'!$B$22,0)</x:f>
        <x:v>11</x:v>
      </x:c>
      <x:c r="O12" s="193" t="n">
        <x:f>IF(J12&gt;='Scoring'!$I$7,'Scoring'!$J$7,IF(J12&gt;='Scoring'!$I$6,'Scoring'!$J$6,IF(J12&gt;='Scoring'!$I$5,'Scoring'!$J$5,'Scoring'!$J$4)))</x:f>
        <x:v>4</x:v>
      </x:c>
      <x:c r="P12" s="193" t="n">
        <x:f>IF(H12="Supported",'Scoring'!$F$11,'Scoring'!$F$12)</x:f>
        <x:v>2</x:v>
      </x:c>
      <x:c r="Q12" s="193" t="n">
        <x:f>SUM(N12:P12)</x:f>
        <x:v>17</x:v>
      </x:c>
      <x:c r="R12" s="181" t="str">
        <x:v>Unverified – Seedbomb snapshot</x:v>
      </x:c>
      <x:c r="S12" s="181" t="str">
        <x:v>Not contacted</x:v>
      </x:c>
      <x:c r="T12" s="199"/>
      <x:c r="U12" s="181" t="str">
        <x:v>No</x:v>
      </x:c>
      <x:c r="V12" s="181"/>
      <x:c r="W12" s="181" t="str">
        <x:f>"https://www.twitch.tv/"&amp;D12</x:f>
        <x:v>https://www.twitch.tv/modoze_</x:v>
      </x:c>
      <x:c r="X12" s="181" t="str">
        <x:v>Seedbomb streamers_sample.csv; downloaded 2026-07-24; snapshot date unknown</x:v>
      </x:c>
    </x:row>
    <x:row r="13" ht="54" customHeight="1">
      <x:c r="A13" s="181" t="str">
        <x:f>IF(Q13&gt;='Scoring'!$F$4,"A - First wave",IF(Q13&gt;='Scoring'!$F$5,"B - Second wave",IF(Q13&gt;='Scoring'!$F$6,"C - Later","D - Skip")))</x:f>
        <x:v>B - Second wave</x:v>
      </x:c>
      <x:c r="B13" s="181" t="str">
        <x:f>IF(A13="A - First wave","1 - Initial outreach",IF(A13="B - Second wave","2 - Follow-on",IF(A13="C - Later","3 - Opportunistic","Hold")))</x:f>
        <x:v>2 - Follow-on</x:v>
      </x:c>
      <x:c r="C13" s="181" t="str">
        <x:f>'Seedbomb Source'!B7</x:f>
        <x:v>Minesuklaa</x:v>
      </x:c>
      <x:c r="D13" s="181" t="str">
        <x:f>'Seedbomb Source'!A7</x:f>
        <x:v>minesuklaa</x:v>
      </x:c>
      <x:c r="E13" s="181" t="str">
        <x:f>'Seedbomb Source'!E7</x:f>
        <x:v>minesuklaa@gmail.com</x:v>
      </x:c>
      <x:c r="F13" s="181" t="str">
        <x:f>'Seedbomb Source'!C7</x:f>
        <x:v>english</x:v>
      </x:c>
      <x:c r="G13" s="181" t="str">
        <x:f>IF('Seedbomb Source'!D7="","",'Seedbomb Source'!D7)</x:f>
      </x:c>
      <x:c r="H13" s="181" t="str">
        <x:f>IF(OR(COUNTIF('Scoring'!$M$4:$M$14,F13)&gt;0,COUNTIF('Scoring'!$M$4:$M$14,G13)&gt;0),"Supported","Not localized")</x:f>
        <x:v>Supported</x:v>
      </x:c>
      <x:c r="I13" s="187" t="str">
        <x:f>'Seedbomb Source'!F7</x:f>
        <x:v>723</x:v>
      </x:c>
      <x:c r="J13" s="187" t="str">
        <x:f>'Seedbomb Source'!G7</x:f>
        <x:v>36</x:v>
      </x:c>
      <x:c r="K13" s="181" t="str">
        <x:f>IF(J13&gt;='Scoring'!$I$7,'Scoring'!$K$7,IF(J13&gt;='Scoring'!$I$6,'Scoring'!$K$6,IF(J13&gt;='Scoring'!$I$5,'Scoring'!$K$5,'Scoring'!$K$4)))</x:f>
        <x:v>Small/mid sweet spot</x:v>
      </x:c>
      <x:c r="L13" s="181" t="str">
        <x:f>'Seedbomb Source'!H7</x:f>
        <x:v>Early Access,Simulation,3D,First-Person,Multiplayer,Online Co-Op,Open World,Realistic,Life Sim,Casual</x:v>
      </x:c>
      <x:c r="M13" s="181" t="str">
        <x:v>Partial match: Simulation, Open World.</x:v>
      </x:c>
      <x:c r="N13" s="193" t="n">
        <x:f>IF(ISNUMBER(SEARCH('Scoring'!$A$4,L13)),'Scoring'!$B$4,0)+IF(ISNUMBER(SEARCH('Scoring'!$A$5,L13)),'Scoring'!$B$5,0)+IF(ISNUMBER(SEARCH('Scoring'!$A$6,L13)),'Scoring'!$B$6,0)+IF(ISNUMBER(SEARCH('Scoring'!$A$7,L13)),'Scoring'!$B$7,0)+IF(ISNUMBER(SEARCH('Scoring'!$A$8,L13)),'Scoring'!$B$8,0)+IF(ISNUMBER(SEARCH('Scoring'!$A$9,L13)),'Scoring'!$B$9,0)+IF(ISNUMBER(SEARCH('Scoring'!$A$10,L13)),'Scoring'!$B$10,0)+IF(ISNUMBER(SEARCH('Scoring'!$A$11,L13)),'Scoring'!$B$11,0)+IF(ISNUMBER(SEARCH('Scoring'!$A$12,L13)),'Scoring'!$B$12,0)+IF(ISNUMBER(SEARCH('Scoring'!$A$13,L13)),'Scoring'!$B$13,0)+IF(ISNUMBER(SEARCH('Scoring'!$A$14,L13)),'Scoring'!$B$14,0)+IF(ISNUMBER(SEARCH('Scoring'!$A$15,L13)),'Scoring'!$B$15,0)+IF(ISNUMBER(SEARCH('Scoring'!$A$16,L13)),'Scoring'!$B$16,0)+IF(ISNUMBER(SEARCH('Scoring'!$A$17,L13)),'Scoring'!$B$17,0)+IF(ISNUMBER(SEARCH('Scoring'!$A$18,L13)),'Scoring'!$B$18,0)+IF(ISNUMBER(SEARCH('Scoring'!$A$19,L13)),'Scoring'!$B$19,0)+IF(ISNUMBER(SEARCH('Scoring'!$A$20,L13)),'Scoring'!$B$20,0)+IF(ISNUMBER(SEARCH('Scoring'!$A$21,L13)),'Scoring'!$B$21,0)+IF(ISNUMBER(SEARCH('Scoring'!$A$22,L13)),'Scoring'!$B$22,0)</x:f>
        <x:v>6</x:v>
      </x:c>
      <x:c r="O13" s="193" t="n">
        <x:f>IF(J13&gt;='Scoring'!$I$7,'Scoring'!$J$7,IF(J13&gt;='Scoring'!$I$6,'Scoring'!$J$6,IF(J13&gt;='Scoring'!$I$5,'Scoring'!$J$5,'Scoring'!$J$4)))</x:f>
        <x:v>4</x:v>
      </x:c>
      <x:c r="P13" s="193" t="n">
        <x:f>IF(H13="Supported",'Scoring'!$F$11,'Scoring'!$F$12)</x:f>
        <x:v>2</x:v>
      </x:c>
      <x:c r="Q13" s="193" t="n">
        <x:f>SUM(N13:P13)</x:f>
        <x:v>12</x:v>
      </x:c>
      <x:c r="R13" s="181" t="str">
        <x:v>Unverified – Seedbomb snapshot</x:v>
      </x:c>
      <x:c r="S13" s="181" t="str">
        <x:v>Not contacted</x:v>
      </x:c>
      <x:c r="T13" s="199"/>
      <x:c r="U13" s="181" t="str">
        <x:v>No</x:v>
      </x:c>
      <x:c r="V13" s="181"/>
      <x:c r="W13" s="181" t="str">
        <x:f>"https://www.twitch.tv/"&amp;D13</x:f>
        <x:v>https://www.twitch.tv/minesuklaa</x:v>
      </x:c>
      <x:c r="X13" s="181" t="str">
        <x:v>Seedbomb streamers_sample.csv; downloaded 2026-07-24; snapshot date unknown</x:v>
      </x:c>
    </x:row>
    <x:row r="14" ht="54" customHeight="1">
      <x:c r="A14" s="181" t="str">
        <x:f>IF(Q14&gt;='Scoring'!$F$4,"A - First wave",IF(Q14&gt;='Scoring'!$F$5,"B - Second wave",IF(Q14&gt;='Scoring'!$F$6,"C - Later","D - Skip")))</x:f>
        <x:v>C - Later</x:v>
      </x:c>
      <x:c r="B14" s="181" t="str">
        <x:f>IF(A14="A - First wave","1 - Initial outreach",IF(A14="B - Second wave","2 - Follow-on",IF(A14="C - Later","3 - Opportunistic","Hold")))</x:f>
        <x:v>3 - Opportunistic</x:v>
      </x:c>
      <x:c r="C14" s="181" t="str">
        <x:f>'Seedbomb Source'!B8</x:f>
        <x:v>Thorlar</x:v>
      </x:c>
      <x:c r="D14" s="181" t="str">
        <x:f>'Seedbomb Source'!A8</x:f>
        <x:v>thorlar</x:v>
      </x:c>
      <x:c r="E14" s="181" t="str">
        <x:f>'Seedbomb Source'!E8</x:f>
        <x:v>thorlar@ggtalentgroup.com</x:v>
      </x:c>
      <x:c r="F14" s="181" t="str">
        <x:f>'Seedbomb Source'!C8</x:f>
        <x:v>english</x:v>
      </x:c>
      <x:c r="G14" s="181" t="str">
        <x:f>IF('Seedbomb Source'!D8="","",'Seedbomb Source'!D8)</x:f>
      </x:c>
      <x:c r="H14" s="181" t="str">
        <x:f>IF(OR(COUNTIF('Scoring'!$M$4:$M$14,F14)&gt;0,COUNTIF('Scoring'!$M$4:$M$14,G14)&gt;0),"Supported","Not localized")</x:f>
        <x:v>Supported</x:v>
      </x:c>
      <x:c r="I14" s="187" t="str">
        <x:f>'Seedbomb Source'!F8</x:f>
        <x:v>114675</x:v>
      </x:c>
      <x:c r="J14" s="187" t="str">
        <x:f>'Seedbomb Source'!G8</x:f>
        <x:v>14381</x:v>
      </x:c>
      <x:c r="K14" s="181" t="str">
        <x:f>IF(J14&gt;='Scoring'!$I$7,'Scoring'!$K$7,IF(J14&gt;='Scoring'!$I$6,'Scoring'!$K$6,IF(J14&gt;='Scoring'!$I$5,'Scoring'!$K$5,'Scoring'!$K$4)))</x:f>
        <x:v>Large; lower cold-outreach probability</x:v>
      </x:c>
      <x:c r="L14" s="181" t="str">
        <x:f>'Seedbomb Source'!H8</x:f>
        <x:v>First-Person,3D,Horror,Exploration,Singleplayer,Psychological Horror,Mystery,Realistic,Adventure,Atmospheric</x:v>
      </x:c>
      <x:c r="M14" s="181" t="str">
        <x:v>Partial match: Exploration, Adventure, Singleplayer.</x:v>
      </x:c>
      <x:c r="N14" s="193" t="n">
        <x:f>IF(ISNUMBER(SEARCH('Scoring'!$A$4,L14)),'Scoring'!$B$4,0)+IF(ISNUMBER(SEARCH('Scoring'!$A$5,L14)),'Scoring'!$B$5,0)+IF(ISNUMBER(SEARCH('Scoring'!$A$6,L14)),'Scoring'!$B$6,0)+IF(ISNUMBER(SEARCH('Scoring'!$A$7,L14)),'Scoring'!$B$7,0)+IF(ISNUMBER(SEARCH('Scoring'!$A$8,L14)),'Scoring'!$B$8,0)+IF(ISNUMBER(SEARCH('Scoring'!$A$9,L14)),'Scoring'!$B$9,0)+IF(ISNUMBER(SEARCH('Scoring'!$A$10,L14)),'Scoring'!$B$10,0)+IF(ISNUMBER(SEARCH('Scoring'!$A$11,L14)),'Scoring'!$B$11,0)+IF(ISNUMBER(SEARCH('Scoring'!$A$12,L14)),'Scoring'!$B$12,0)+IF(ISNUMBER(SEARCH('Scoring'!$A$13,L14)),'Scoring'!$B$13,0)+IF(ISNUMBER(SEARCH('Scoring'!$A$14,L14)),'Scoring'!$B$14,0)+IF(ISNUMBER(SEARCH('Scoring'!$A$15,L14)),'Scoring'!$B$15,0)+IF(ISNUMBER(SEARCH('Scoring'!$A$16,L14)),'Scoring'!$B$16,0)+IF(ISNUMBER(SEARCH('Scoring'!$A$17,L14)),'Scoring'!$B$17,0)+IF(ISNUMBER(SEARCH('Scoring'!$A$18,L14)),'Scoring'!$B$18,0)+IF(ISNUMBER(SEARCH('Scoring'!$A$19,L14)),'Scoring'!$B$19,0)+IF(ISNUMBER(SEARCH('Scoring'!$A$20,L14)),'Scoring'!$B$20,0)+IF(ISNUMBER(SEARCH('Scoring'!$A$21,L14)),'Scoring'!$B$21,0)+IF(ISNUMBER(SEARCH('Scoring'!$A$22,L14)),'Scoring'!$B$22,0)</x:f>
        <x:v>5</x:v>
      </x:c>
      <x:c r="O14" s="193" t="n">
        <x:f>IF(J14&gt;='Scoring'!$I$7,'Scoring'!$J$7,IF(J14&gt;='Scoring'!$I$6,'Scoring'!$J$6,IF(J14&gt;='Scoring'!$I$5,'Scoring'!$J$5,'Scoring'!$J$4)))</x:f>
        <x:v>0</x:v>
      </x:c>
      <x:c r="P14" s="193" t="n">
        <x:f>IF(H14="Supported",'Scoring'!$F$11,'Scoring'!$F$12)</x:f>
        <x:v>2</x:v>
      </x:c>
      <x:c r="Q14" s="193" t="n">
        <x:f>SUM(N14:P14)</x:f>
        <x:v>7</x:v>
      </x:c>
      <x:c r="R14" s="181" t="str">
        <x:v>Unverified – Seedbomb snapshot</x:v>
      </x:c>
      <x:c r="S14" s="181" t="str">
        <x:v>Not contacted</x:v>
      </x:c>
      <x:c r="T14" s="199"/>
      <x:c r="U14" s="181" t="str">
        <x:v>No</x:v>
      </x:c>
      <x:c r="V14" s="181"/>
      <x:c r="W14" s="181" t="str">
        <x:f>"https://www.twitch.tv/"&amp;D14</x:f>
        <x:v>https://www.twitch.tv/thorlar</x:v>
      </x:c>
      <x:c r="X14" s="181" t="str">
        <x:v>Seedbomb streamers_sample.csv; downloaded 2026-07-24; snapshot date unknown</x:v>
      </x:c>
    </x:row>
    <x:row r="15" ht="54" customHeight="1">
      <x:c r="A15" s="181" t="str">
        <x:f>IF(Q15&gt;='Scoring'!$F$4,"A - First wave",IF(Q15&gt;='Scoring'!$F$5,"B - Second wave",IF(Q15&gt;='Scoring'!$F$6,"C - Later","D - Skip")))</x:f>
        <x:v>C - Later</x:v>
      </x:c>
      <x:c r="B15" s="181" t="str">
        <x:f>IF(A15="A - First wave","1 - Initial outreach",IF(A15="B - Second wave","2 - Follow-on",IF(A15="C - Later","3 - Opportunistic","Hold")))</x:f>
        <x:v>3 - Opportunistic</x:v>
      </x:c>
      <x:c r="C15" s="181" t="str">
        <x:f>'Seedbomb Source'!B9</x:f>
        <x:v>aksually</x:v>
      </x:c>
      <x:c r="D15" s="181" t="str">
        <x:f>'Seedbomb Source'!A9</x:f>
        <x:v>aksually</x:v>
      </x:c>
      <x:c r="E15" s="181" t="str">
        <x:f>'Seedbomb Source'!E9</x:f>
        <x:v>aksually@gmail.com</x:v>
      </x:c>
      <x:c r="F15" s="181" t="str">
        <x:f>'Seedbomb Source'!C9</x:f>
        <x:v>english</x:v>
      </x:c>
      <x:c r="G15" s="181" t="str">
        <x:f>IF('Seedbomb Source'!D9="","",'Seedbomb Source'!D9)</x:f>
      </x:c>
      <x:c r="H15" s="181" t="str">
        <x:f>IF(OR(COUNTIF('Scoring'!$M$4:$M$14,F15)&gt;0,COUNTIF('Scoring'!$M$4:$M$14,G15)&gt;0),"Supported","Not localized")</x:f>
        <x:v>Supported</x:v>
      </x:c>
      <x:c r="I15" s="187" t="str">
        <x:f>'Seedbomb Source'!F9</x:f>
        <x:v>152229</x:v>
      </x:c>
      <x:c r="J15" s="187" t="str">
        <x:f>'Seedbomb Source'!G9</x:f>
        <x:v>2891</x:v>
      </x:c>
      <x:c r="K15" s="181" t="str">
        <x:f>IF(J15&gt;='Scoring'!$I$7,'Scoring'!$K$7,IF(J15&gt;='Scoring'!$I$6,'Scoring'!$K$6,IF(J15&gt;='Scoring'!$I$5,'Scoring'!$K$5,'Scoring'!$K$4)))</x:f>
        <x:v>Large; lower cold-outreach probability</x:v>
      </x:c>
      <x:c r="L15" s="181" t="str">
        <x:f>'Seedbomb Source'!H9</x:f>
        <x:v>Simulation,Early Access,3D,First-Person,Multiplayer,Online Co-Op,Open World,Realistic,Life Sim,Casual</x:v>
      </x:c>
      <x:c r="M15" s="181" t="str">
        <x:v>Partial match: Simulation, Open World.</x:v>
      </x:c>
      <x:c r="N15" s="193" t="n">
        <x:f>IF(ISNUMBER(SEARCH('Scoring'!$A$4,L15)),'Scoring'!$B$4,0)+IF(ISNUMBER(SEARCH('Scoring'!$A$5,L15)),'Scoring'!$B$5,0)+IF(ISNUMBER(SEARCH('Scoring'!$A$6,L15)),'Scoring'!$B$6,0)+IF(ISNUMBER(SEARCH('Scoring'!$A$7,L15)),'Scoring'!$B$7,0)+IF(ISNUMBER(SEARCH('Scoring'!$A$8,L15)),'Scoring'!$B$8,0)+IF(ISNUMBER(SEARCH('Scoring'!$A$9,L15)),'Scoring'!$B$9,0)+IF(ISNUMBER(SEARCH('Scoring'!$A$10,L15)),'Scoring'!$B$10,0)+IF(ISNUMBER(SEARCH('Scoring'!$A$11,L15)),'Scoring'!$B$11,0)+IF(ISNUMBER(SEARCH('Scoring'!$A$12,L15)),'Scoring'!$B$12,0)+IF(ISNUMBER(SEARCH('Scoring'!$A$13,L15)),'Scoring'!$B$13,0)+IF(ISNUMBER(SEARCH('Scoring'!$A$14,L15)),'Scoring'!$B$14,0)+IF(ISNUMBER(SEARCH('Scoring'!$A$15,L15)),'Scoring'!$B$15,0)+IF(ISNUMBER(SEARCH('Scoring'!$A$16,L15)),'Scoring'!$B$16,0)+IF(ISNUMBER(SEARCH('Scoring'!$A$17,L15)),'Scoring'!$B$17,0)+IF(ISNUMBER(SEARCH('Scoring'!$A$18,L15)),'Scoring'!$B$18,0)+IF(ISNUMBER(SEARCH('Scoring'!$A$19,L15)),'Scoring'!$B$19,0)+IF(ISNUMBER(SEARCH('Scoring'!$A$20,L15)),'Scoring'!$B$20,0)+IF(ISNUMBER(SEARCH('Scoring'!$A$21,L15)),'Scoring'!$B$21,0)+IF(ISNUMBER(SEARCH('Scoring'!$A$22,L15)),'Scoring'!$B$22,0)</x:f>
        <x:v>6</x:v>
      </x:c>
      <x:c r="O15" s="193" t="n">
        <x:f>IF(J15&gt;='Scoring'!$I$7,'Scoring'!$J$7,IF(J15&gt;='Scoring'!$I$6,'Scoring'!$J$6,IF(J15&gt;='Scoring'!$I$5,'Scoring'!$J$5,'Scoring'!$J$4)))</x:f>
        <x:v>0</x:v>
      </x:c>
      <x:c r="P15" s="193" t="n">
        <x:f>IF(H15="Supported",'Scoring'!$F$11,'Scoring'!$F$12)</x:f>
        <x:v>2</x:v>
      </x:c>
      <x:c r="Q15" s="193" t="n">
        <x:f>SUM(N15:P15)</x:f>
        <x:v>8</x:v>
      </x:c>
      <x:c r="R15" s="181" t="str">
        <x:v>Unverified – Seedbomb snapshot</x:v>
      </x:c>
      <x:c r="S15" s="181" t="str">
        <x:v>Not contacted</x:v>
      </x:c>
      <x:c r="T15" s="199"/>
      <x:c r="U15" s="181" t="str">
        <x:v>No</x:v>
      </x:c>
      <x:c r="V15" s="181"/>
      <x:c r="W15" s="181" t="str">
        <x:f>"https://www.twitch.tv/"&amp;D15</x:f>
        <x:v>https://www.twitch.tv/aksually</x:v>
      </x:c>
      <x:c r="X15" s="181" t="str">
        <x:v>Seedbomb streamers_sample.csv; downloaded 2026-07-24; snapshot date unknown</x:v>
      </x:c>
    </x:row>
    <x:row r="16" ht="54" customHeight="1">
      <x:c r="A16" s="181" t="str">
        <x:f>IF(Q16&gt;='Scoring'!$F$4,"A - First wave",IF(Q16&gt;='Scoring'!$F$5,"B - Second wave",IF(Q16&gt;='Scoring'!$F$6,"C - Later","D - Skip")))</x:f>
        <x:v>B - Second wave</x:v>
      </x:c>
      <x:c r="B16" s="181" t="str">
        <x:f>IF(A16="A - First wave","1 - Initial outreach",IF(A16="B - Second wave","2 - Follow-on",IF(A16="C - Later","3 - Opportunistic","Hold")))</x:f>
        <x:v>2 - Follow-on</x:v>
      </x:c>
      <x:c r="C16" s="181" t="str">
        <x:f>'Seedbomb Source'!B10</x:f>
        <x:v>zoreaudio</x:v>
      </x:c>
      <x:c r="D16" s="181" t="str">
        <x:f>'Seedbomb Source'!A10</x:f>
        <x:v>zoreaudio</x:v>
      </x:c>
      <x:c r="E16" s="181" t="str">
        <x:f>'Seedbomb Source'!E10</x:f>
        <x:v>zoreaudio@notmanagement.no</x:v>
      </x:c>
      <x:c r="F16" s="181" t="str">
        <x:f>'Seedbomb Source'!C10</x:f>
        <x:v>finnish</x:v>
      </x:c>
      <x:c r="G16" s="181" t="str">
        <x:f>IF('Seedbomb Source'!D10="","",'Seedbomb Source'!D10)</x:f>
      </x:c>
      <x:c r="H16" s="181" t="str">
        <x:f>IF(OR(COUNTIF('Scoring'!$M$4:$M$14,F16)&gt;0,COUNTIF('Scoring'!$M$4:$M$14,G16)&gt;0),"Supported","Not localized")</x:f>
        <x:v>Not localized</x:v>
      </x:c>
      <x:c r="I16" s="187" t="str">
        <x:f>'Seedbomb Source'!F10</x:f>
        <x:v>29176</x:v>
      </x:c>
      <x:c r="J16" s="187" t="str">
        <x:f>'Seedbomb Source'!G10</x:f>
        <x:v>49</x:v>
      </x:c>
      <x:c r="K16" s="181" t="str">
        <x:f>IF(J16&gt;='Scoring'!$I$7,'Scoring'!$K$7,IF(J16&gt;='Scoring'!$I$6,'Scoring'!$K$6,IF(J16&gt;='Scoring'!$I$5,'Scoring'!$K$5,'Scoring'!$K$4)))</x:f>
        <x:v>Small/mid sweet spot</x:v>
      </x:c>
      <x:c r="L16" s="181" t="str">
        <x:f>'Seedbomb Source'!H10</x:f>
        <x:v>Simulation,Sandbox,Early Access,3D,First-Person,Multiplayer,Online Co-Op,Open World,Casual,Crafting</x:v>
      </x:c>
      <x:c r="M16" s="181" t="str">
        <x:v>Partial match: Sandbox, Simulation, Open World.</x:v>
      </x:c>
      <x:c r="N16" s="193" t="n">
        <x:f>IF(ISNUMBER(SEARCH('Scoring'!$A$4,L16)),'Scoring'!$B$4,0)+IF(ISNUMBER(SEARCH('Scoring'!$A$5,L16)),'Scoring'!$B$5,0)+IF(ISNUMBER(SEARCH('Scoring'!$A$6,L16)),'Scoring'!$B$6,0)+IF(ISNUMBER(SEARCH('Scoring'!$A$7,L16)),'Scoring'!$B$7,0)+IF(ISNUMBER(SEARCH('Scoring'!$A$8,L16)),'Scoring'!$B$8,0)+IF(ISNUMBER(SEARCH('Scoring'!$A$9,L16)),'Scoring'!$B$9,0)+IF(ISNUMBER(SEARCH('Scoring'!$A$10,L16)),'Scoring'!$B$10,0)+IF(ISNUMBER(SEARCH('Scoring'!$A$11,L16)),'Scoring'!$B$11,0)+IF(ISNUMBER(SEARCH('Scoring'!$A$12,L16)),'Scoring'!$B$12,0)+IF(ISNUMBER(SEARCH('Scoring'!$A$13,L16)),'Scoring'!$B$13,0)+IF(ISNUMBER(SEARCH('Scoring'!$A$14,L16)),'Scoring'!$B$14,0)+IF(ISNUMBER(SEARCH('Scoring'!$A$15,L16)),'Scoring'!$B$15,0)+IF(ISNUMBER(SEARCH('Scoring'!$A$16,L16)),'Scoring'!$B$16,0)+IF(ISNUMBER(SEARCH('Scoring'!$A$17,L16)),'Scoring'!$B$17,0)+IF(ISNUMBER(SEARCH('Scoring'!$A$18,L16)),'Scoring'!$B$18,0)+IF(ISNUMBER(SEARCH('Scoring'!$A$19,L16)),'Scoring'!$B$19,0)+IF(ISNUMBER(SEARCH('Scoring'!$A$20,L16)),'Scoring'!$B$20,0)+IF(ISNUMBER(SEARCH('Scoring'!$A$21,L16)),'Scoring'!$B$21,0)+IF(ISNUMBER(SEARCH('Scoring'!$A$22,L16)),'Scoring'!$B$22,0)</x:f>
        <x:v>10</x:v>
      </x:c>
      <x:c r="O16" s="193" t="n">
        <x:f>IF(J16&gt;='Scoring'!$I$7,'Scoring'!$J$7,IF(J16&gt;='Scoring'!$I$6,'Scoring'!$J$6,IF(J16&gt;='Scoring'!$I$5,'Scoring'!$J$5,'Scoring'!$J$4)))</x:f>
        <x:v>4</x:v>
      </x:c>
      <x:c r="P16" s="193" t="n">
        <x:f>IF(H16="Supported",'Scoring'!$F$11,'Scoring'!$F$12)</x:f>
        <x:v>0</x:v>
      </x:c>
      <x:c r="Q16" s="193" t="n">
        <x:f>SUM(N16:P16)</x:f>
        <x:v>14</x:v>
      </x:c>
      <x:c r="R16" s="181" t="str">
        <x:v>Unverified – Seedbomb snapshot</x:v>
      </x:c>
      <x:c r="S16" s="181" t="str">
        <x:v>Not contacted</x:v>
      </x:c>
      <x:c r="T16" s="199"/>
      <x:c r="U16" s="181" t="str">
        <x:v>No</x:v>
      </x:c>
      <x:c r="V16" s="181"/>
      <x:c r="W16" s="181" t="str">
        <x:f>"https://www.twitch.tv/"&amp;D16</x:f>
        <x:v>https://www.twitch.tv/zoreaudio</x:v>
      </x:c>
      <x:c r="X16" s="181" t="str">
        <x:v>Seedbomb streamers_sample.csv; downloaded 2026-07-24; snapshot date unknown</x:v>
      </x:c>
    </x:row>
    <x:row r="17" ht="54" customHeight="1">
      <x:c r="A17" s="181" t="str">
        <x:f>IF(Q17&gt;='Scoring'!$F$4,"A - First wave",IF(Q17&gt;='Scoring'!$F$5,"B - Second wave",IF(Q17&gt;='Scoring'!$F$6,"C - Later","D - Skip")))</x:f>
        <x:v>B - Second wave</x:v>
      </x:c>
      <x:c r="B17" s="181" t="str">
        <x:f>IF(A17="A - First wave","1 - Initial outreach",IF(A17="B - Second wave","2 - Follow-on",IF(A17="C - Later","3 - Opportunistic","Hold")))</x:f>
        <x:v>2 - Follow-on</x:v>
      </x:c>
      <x:c r="C17" s="181" t="str">
        <x:f>'Seedbomb Source'!B11</x:f>
        <x:v>Ezekiel_III</x:v>
      </x:c>
      <x:c r="D17" s="181" t="str">
        <x:f>'Seedbomb Source'!A11</x:f>
        <x:v>ezekiel_iii</x:v>
      </x:c>
      <x:c r="E17" s="181" t="str">
        <x:f>'Seedbomb Source'!E11</x:f>
        <x:v>zeke3biz@gmail.com</x:v>
      </x:c>
      <x:c r="F17" s="181" t="str">
        <x:f>'Seedbomb Source'!C11</x:f>
        <x:v>english</x:v>
      </x:c>
      <x:c r="G17" s="181" t="str">
        <x:f>IF('Seedbomb Source'!D11="","",'Seedbomb Source'!D11)</x:f>
      </x:c>
      <x:c r="H17" s="181" t="str">
        <x:f>IF(OR(COUNTIF('Scoring'!$M$4:$M$14,F17)&gt;0,COUNTIF('Scoring'!$M$4:$M$14,G17)&gt;0),"Supported","Not localized")</x:f>
        <x:v>Supported</x:v>
      </x:c>
      <x:c r="I17" s="187" t="str">
        <x:f>'Seedbomb Source'!F11</x:f>
        <x:v>218809</x:v>
      </x:c>
      <x:c r="J17" s="187" t="str">
        <x:f>'Seedbomb Source'!G11</x:f>
        <x:v>110</x:v>
      </x:c>
      <x:c r="K17" s="181" t="str">
        <x:f>IF(J17&gt;='Scoring'!$I$7,'Scoring'!$K$7,IF(J17&gt;='Scoring'!$I$6,'Scoring'!$K$6,IF(J17&gt;='Scoring'!$I$5,'Scoring'!$K$5,'Scoring'!$K$4)))</x:f>
        <x:v>Small/mid sweet spot</x:v>
      </x:c>
      <x:c r="L17" s="181" t="str">
        <x:f>'Seedbomb Source'!H11</x:f>
        <x:v>Singleplayer,Adventure,Atmospheric,Story Rich,Indie,Exploration,Action,Puzzle,Horror,2D</x:v>
      </x:c>
      <x:c r="M17" s="181" t="str">
        <x:v>Strong match: Exploration, 2D, Adventure, Singleplayer.</x:v>
      </x:c>
      <x:c r="N17" s="193" t="n">
        <x:f>IF(ISNUMBER(SEARCH('Scoring'!$A$4,L17)),'Scoring'!$B$4,0)+IF(ISNUMBER(SEARCH('Scoring'!$A$5,L17)),'Scoring'!$B$5,0)+IF(ISNUMBER(SEARCH('Scoring'!$A$6,L17)),'Scoring'!$B$6,0)+IF(ISNUMBER(SEARCH('Scoring'!$A$7,L17)),'Scoring'!$B$7,0)+IF(ISNUMBER(SEARCH('Scoring'!$A$8,L17)),'Scoring'!$B$8,0)+IF(ISNUMBER(SEARCH('Scoring'!$A$9,L17)),'Scoring'!$B$9,0)+IF(ISNUMBER(SEARCH('Scoring'!$A$10,L17)),'Scoring'!$B$10,0)+IF(ISNUMBER(SEARCH('Scoring'!$A$11,L17)),'Scoring'!$B$11,0)+IF(ISNUMBER(SEARCH('Scoring'!$A$12,L17)),'Scoring'!$B$12,0)+IF(ISNUMBER(SEARCH('Scoring'!$A$13,L17)),'Scoring'!$B$13,0)+IF(ISNUMBER(SEARCH('Scoring'!$A$14,L17)),'Scoring'!$B$14,0)+IF(ISNUMBER(SEARCH('Scoring'!$A$15,L17)),'Scoring'!$B$15,0)+IF(ISNUMBER(SEARCH('Scoring'!$A$16,L17)),'Scoring'!$B$16,0)+IF(ISNUMBER(SEARCH('Scoring'!$A$17,L17)),'Scoring'!$B$17,0)+IF(ISNUMBER(SEARCH('Scoring'!$A$18,L17)),'Scoring'!$B$18,0)+IF(ISNUMBER(SEARCH('Scoring'!$A$19,L17)),'Scoring'!$B$19,0)+IF(ISNUMBER(SEARCH('Scoring'!$A$20,L17)),'Scoring'!$B$20,0)+IF(ISNUMBER(SEARCH('Scoring'!$A$21,L17)),'Scoring'!$B$21,0)+IF(ISNUMBER(SEARCH('Scoring'!$A$22,L17)),'Scoring'!$B$22,0)</x:f>
        <x:v>6</x:v>
      </x:c>
      <x:c r="O17" s="193" t="n">
        <x:f>IF(J17&gt;='Scoring'!$I$7,'Scoring'!$J$7,IF(J17&gt;='Scoring'!$I$6,'Scoring'!$J$6,IF(J17&gt;='Scoring'!$I$5,'Scoring'!$J$5,'Scoring'!$J$4)))</x:f>
        <x:v>4</x:v>
      </x:c>
      <x:c r="P17" s="193" t="n">
        <x:f>IF(H17="Supported",'Scoring'!$F$11,'Scoring'!$F$12)</x:f>
        <x:v>2</x:v>
      </x:c>
      <x:c r="Q17" s="193" t="n">
        <x:f>SUM(N17:P17)</x:f>
        <x:v>12</x:v>
      </x:c>
      <x:c r="R17" s="181" t="str">
        <x:v>Unverified – Seedbomb snapshot</x:v>
      </x:c>
      <x:c r="S17" s="181" t="str">
        <x:v>Not contacted</x:v>
      </x:c>
      <x:c r="T17" s="199"/>
      <x:c r="U17" s="181" t="str">
        <x:v>No</x:v>
      </x:c>
      <x:c r="V17" s="181"/>
      <x:c r="W17" s="181" t="str">
        <x:f>"https://www.twitch.tv/"&amp;D17</x:f>
        <x:v>https://www.twitch.tv/ezekiel_iii</x:v>
      </x:c>
      <x:c r="X17" s="181" t="str">
        <x:v>Seedbomb streamers_sample.csv; downloaded 2026-07-24; snapshot date unknown</x:v>
      </x:c>
    </x:row>
    <x:row r="18" ht="54" customHeight="1">
      <x:c r="A18" s="181" t="str">
        <x:f>IF(Q18&gt;='Scoring'!$F$4,"A - First wave",IF(Q18&gt;='Scoring'!$F$5,"B - Second wave",IF(Q18&gt;='Scoring'!$F$6,"C - Later","D - Skip")))</x:f>
        <x:v>C - Later</x:v>
      </x:c>
      <x:c r="B18" s="181" t="str">
        <x:f>IF(A18="A - First wave","1 - Initial outreach",IF(A18="B - Second wave","2 - Follow-on",IF(A18="C - Later","3 - Opportunistic","Hold")))</x:f>
        <x:v>3 - Opportunistic</x:v>
      </x:c>
      <x:c r="C18" s="181" t="str">
        <x:f>'Seedbomb Source'!B12</x:f>
        <x:v>bosscatFGC</x:v>
      </x:c>
      <x:c r="D18" s="181" t="str">
        <x:f>'Seedbomb Source'!A12</x:f>
        <x:v>bosscatfgc</x:v>
      </x:c>
      <x:c r="E18" s="181" t="str">
        <x:f>'Seedbomb Source'!E12</x:f>
        <x:v>bosscatfgc@gmail.com</x:v>
      </x:c>
      <x:c r="F18" s="181" t="str">
        <x:f>'Seedbomb Source'!C12</x:f>
        <x:v>english</x:v>
      </x:c>
      <x:c r="G18" s="181" t="str">
        <x:f>IF('Seedbomb Source'!D12="","",'Seedbomb Source'!D12)</x:f>
      </x:c>
      <x:c r="H18" s="181" t="str">
        <x:f>IF(OR(COUNTIF('Scoring'!$M$4:$M$14,F18)&gt;0,COUNTIF('Scoring'!$M$4:$M$14,G18)&gt;0),"Supported","Not localized")</x:f>
        <x:v>Supported</x:v>
      </x:c>
      <x:c r="I18" s="187" t="str">
        <x:f>'Seedbomb Source'!F12</x:f>
        <x:v>194</x:v>
      </x:c>
      <x:c r="J18" s="187" t="str">
        <x:f>'Seedbomb Source'!G12</x:f>
        <x:v>34</x:v>
      </x:c>
      <x:c r="K18" s="181" t="str">
        <x:f>IF(J18&gt;='Scoring'!$I$7,'Scoring'!$K$7,IF(J18&gt;='Scoring'!$I$6,'Scoring'!$K$6,IF(J18&gt;='Scoring'!$I$5,'Scoring'!$K$5,'Scoring'!$K$4)))</x:f>
        <x:v>Small/mid sweet spot</x:v>
      </x:c>
      <x:c r="L18" s="181" t="str">
        <x:f>'Seedbomb Source'!H12</x:f>
        <x:v>2D Fighter,Multiplayer,Singleplayer,Action,2D,Fighting,Pixel Graphics,Arcade,Retro,1990's</x:v>
      </x:c>
      <x:c r="M18" s="181" t="str">
        <x:v>Partial match: Pixel Graphics, 2D, Singleplayer.</x:v>
      </x:c>
      <x:c r="N18" s="193" t="n">
        <x:f>IF(ISNUMBER(SEARCH('Scoring'!$A$4,L18)),'Scoring'!$B$4,0)+IF(ISNUMBER(SEARCH('Scoring'!$A$5,L18)),'Scoring'!$B$5,0)+IF(ISNUMBER(SEARCH('Scoring'!$A$6,L18)),'Scoring'!$B$6,0)+IF(ISNUMBER(SEARCH('Scoring'!$A$7,L18)),'Scoring'!$B$7,0)+IF(ISNUMBER(SEARCH('Scoring'!$A$8,L18)),'Scoring'!$B$8,0)+IF(ISNUMBER(SEARCH('Scoring'!$A$9,L18)),'Scoring'!$B$9,0)+IF(ISNUMBER(SEARCH('Scoring'!$A$10,L18)),'Scoring'!$B$10,0)+IF(ISNUMBER(SEARCH('Scoring'!$A$11,L18)),'Scoring'!$B$11,0)+IF(ISNUMBER(SEARCH('Scoring'!$A$12,L18)),'Scoring'!$B$12,0)+IF(ISNUMBER(SEARCH('Scoring'!$A$13,L18)),'Scoring'!$B$13,0)+IF(ISNUMBER(SEARCH('Scoring'!$A$14,L18)),'Scoring'!$B$14,0)+IF(ISNUMBER(SEARCH('Scoring'!$A$15,L18)),'Scoring'!$B$15,0)+IF(ISNUMBER(SEARCH('Scoring'!$A$16,L18)),'Scoring'!$B$16,0)+IF(ISNUMBER(SEARCH('Scoring'!$A$17,L18)),'Scoring'!$B$17,0)+IF(ISNUMBER(SEARCH('Scoring'!$A$18,L18)),'Scoring'!$B$18,0)+IF(ISNUMBER(SEARCH('Scoring'!$A$19,L18)),'Scoring'!$B$19,0)+IF(ISNUMBER(SEARCH('Scoring'!$A$20,L18)),'Scoring'!$B$20,0)+IF(ISNUMBER(SEARCH('Scoring'!$A$21,L18)),'Scoring'!$B$21,0)+IF(ISNUMBER(SEARCH('Scoring'!$A$22,L18)),'Scoring'!$B$22,0)</x:f>
        <x:v>4</x:v>
      </x:c>
      <x:c r="O18" s="193" t="n">
        <x:f>IF(J18&gt;='Scoring'!$I$7,'Scoring'!$J$7,IF(J18&gt;='Scoring'!$I$6,'Scoring'!$J$6,IF(J18&gt;='Scoring'!$I$5,'Scoring'!$J$5,'Scoring'!$J$4)))</x:f>
        <x:v>4</x:v>
      </x:c>
      <x:c r="P18" s="193" t="n">
        <x:f>IF(H18="Supported",'Scoring'!$F$11,'Scoring'!$F$12)</x:f>
        <x:v>2</x:v>
      </x:c>
      <x:c r="Q18" s="193" t="n">
        <x:f>SUM(N18:P18)</x:f>
        <x:v>10</x:v>
      </x:c>
      <x:c r="R18" s="181" t="str">
        <x:v>Unverified – Seedbomb snapshot</x:v>
      </x:c>
      <x:c r="S18" s="181" t="str">
        <x:v>Not contacted</x:v>
      </x:c>
      <x:c r="T18" s="199"/>
      <x:c r="U18" s="181" t="str">
        <x:v>No</x:v>
      </x:c>
      <x:c r="V18" s="181"/>
      <x:c r="W18" s="181" t="str">
        <x:f>"https://www.twitch.tv/"&amp;D18</x:f>
        <x:v>https://www.twitch.tv/bosscatfgc</x:v>
      </x:c>
      <x:c r="X18" s="181" t="str">
        <x:v>Seedbomb streamers_sample.csv; downloaded 2026-07-24; snapshot date unknown</x:v>
      </x:c>
    </x:row>
    <x:row r="19" ht="54" customHeight="1">
      <x:c r="A19" s="181" t="str">
        <x:f>IF(Q19&gt;='Scoring'!$F$4,"A - First wave",IF(Q19&gt;='Scoring'!$F$5,"B - Second wave",IF(Q19&gt;='Scoring'!$F$6,"C - Later","D - Skip")))</x:f>
        <x:v>D - Skip</x:v>
      </x:c>
      <x:c r="B19" s="181" t="str">
        <x:f>IF(A19="A - First wave","1 - Initial outreach",IF(A19="B - Second wave","2 - Follow-on",IF(A19="C - Later","3 - Opportunistic","Hold")))</x:f>
        <x:v>Hold</x:v>
      </x:c>
      <x:c r="C19" s="181" t="str">
        <x:f>'Seedbomb Source'!B13</x:f>
        <x:v>Master_Of_Chaos</x:v>
      </x:c>
      <x:c r="D19" s="181" t="str">
        <x:f>'Seedbomb Source'!A13</x:f>
        <x:v>master_of_chaos</x:v>
      </x:c>
      <x:c r="E19" s="181" t="str">
        <x:f>'Seedbomb Source'!E13</x:f>
        <x:v>mastrofchaos@gmail.com</x:v>
      </x:c>
      <x:c r="F19" s="181" t="str">
        <x:f>'Seedbomb Source'!C13</x:f>
        <x:v>english</x:v>
      </x:c>
      <x:c r="G19" s="181" t="str">
        <x:f>IF('Seedbomb Source'!D13="","",'Seedbomb Source'!D13)</x:f>
      </x:c>
      <x:c r="H19" s="181" t="str">
        <x:f>IF(OR(COUNTIF('Scoring'!$M$4:$M$14,F19)&gt;0,COUNTIF('Scoring'!$M$4:$M$14,G19)&gt;0),"Supported","Not localized")</x:f>
        <x:v>Supported</x:v>
      </x:c>
      <x:c r="I19" s="187" t="str">
        <x:f>'Seedbomb Source'!F13</x:f>
        <x:v>66681</x:v>
      </x:c>
      <x:c r="J19" s="187" t="str">
        <x:f>'Seedbomb Source'!G13</x:f>
        <x:v>3823</x:v>
      </x:c>
      <x:c r="K19" s="181" t="str">
        <x:f>IF(J19&gt;='Scoring'!$I$7,'Scoring'!$K$7,IF(J19&gt;='Scoring'!$I$6,'Scoring'!$K$6,IF(J19&gt;='Scoring'!$I$5,'Scoring'!$K$5,'Scoring'!$K$4)))</x:f>
        <x:v>Large; lower cold-outreach probability</x:v>
      </x:c>
      <x:c r="L19" s="181" t="str">
        <x:f>'Seedbomb Source'!H13</x:f>
        <x:v>RPG,3D,JRPG,Fantasy,Medieval,Third Person,Party-Based RPG,Anime,Silent Protagonist,Villain Protagonist</x:v>
      </x:c>
      <x:c r="M19" s="181" t="str">
        <x:v>Narrow match: RPG.</x:v>
      </x:c>
      <x:c r="N19" s="193" t="n">
        <x:f>IF(ISNUMBER(SEARCH('Scoring'!$A$4,L19)),'Scoring'!$B$4,0)+IF(ISNUMBER(SEARCH('Scoring'!$A$5,L19)),'Scoring'!$B$5,0)+IF(ISNUMBER(SEARCH('Scoring'!$A$6,L19)),'Scoring'!$B$6,0)+IF(ISNUMBER(SEARCH('Scoring'!$A$7,L19)),'Scoring'!$B$7,0)+IF(ISNUMBER(SEARCH('Scoring'!$A$8,L19)),'Scoring'!$B$8,0)+IF(ISNUMBER(SEARCH('Scoring'!$A$9,L19)),'Scoring'!$B$9,0)+IF(ISNUMBER(SEARCH('Scoring'!$A$10,L19)),'Scoring'!$B$10,0)+IF(ISNUMBER(SEARCH('Scoring'!$A$11,L19)),'Scoring'!$B$11,0)+IF(ISNUMBER(SEARCH('Scoring'!$A$12,L19)),'Scoring'!$B$12,0)+IF(ISNUMBER(SEARCH('Scoring'!$A$13,L19)),'Scoring'!$B$13,0)+IF(ISNUMBER(SEARCH('Scoring'!$A$14,L19)),'Scoring'!$B$14,0)+IF(ISNUMBER(SEARCH('Scoring'!$A$15,L19)),'Scoring'!$B$15,0)+IF(ISNUMBER(SEARCH('Scoring'!$A$16,L19)),'Scoring'!$B$16,0)+IF(ISNUMBER(SEARCH('Scoring'!$A$17,L19)),'Scoring'!$B$17,0)+IF(ISNUMBER(SEARCH('Scoring'!$A$18,L19)),'Scoring'!$B$18,0)+IF(ISNUMBER(SEARCH('Scoring'!$A$19,L19)),'Scoring'!$B$19,0)+IF(ISNUMBER(SEARCH('Scoring'!$A$20,L19)),'Scoring'!$B$20,0)+IF(ISNUMBER(SEARCH('Scoring'!$A$21,L19)),'Scoring'!$B$21,0)+IF(ISNUMBER(SEARCH('Scoring'!$A$22,L19)),'Scoring'!$B$22,0)</x:f>
        <x:v>1</x:v>
      </x:c>
      <x:c r="O19" s="193" t="n">
        <x:f>IF(J19&gt;='Scoring'!$I$7,'Scoring'!$J$7,IF(J19&gt;='Scoring'!$I$6,'Scoring'!$J$6,IF(J19&gt;='Scoring'!$I$5,'Scoring'!$J$5,'Scoring'!$J$4)))</x:f>
        <x:v>0</x:v>
      </x:c>
      <x:c r="P19" s="193" t="n">
        <x:f>IF(H19="Supported",'Scoring'!$F$11,'Scoring'!$F$12)</x:f>
        <x:v>2</x:v>
      </x:c>
      <x:c r="Q19" s="193" t="n">
        <x:f>SUM(N19:P19)</x:f>
        <x:v>3</x:v>
      </x:c>
      <x:c r="R19" s="181" t="str">
        <x:v>Unverified – Seedbomb snapshot</x:v>
      </x:c>
      <x:c r="S19" s="181" t="str">
        <x:v>Not contacted</x:v>
      </x:c>
      <x:c r="T19" s="199"/>
      <x:c r="U19" s="181" t="str">
        <x:v>No</x:v>
      </x:c>
      <x:c r="V19" s="181"/>
      <x:c r="W19" s="181" t="str">
        <x:f>"https://www.twitch.tv/"&amp;D19</x:f>
        <x:v>https://www.twitch.tv/master_of_chaos</x:v>
      </x:c>
      <x:c r="X19" s="181" t="str">
        <x:v>Seedbomb streamers_sample.csv; downloaded 2026-07-24; snapshot date unknown</x:v>
      </x:c>
    </x:row>
    <x:row r="20" ht="54" customHeight="1">
      <x:c r="A20" s="181" t="str">
        <x:f>IF(Q20&gt;='Scoring'!$F$4,"A - First wave",IF(Q20&gt;='Scoring'!$F$5,"B - Second wave",IF(Q20&gt;='Scoring'!$F$6,"C - Later","D - Skip")))</x:f>
        <x:v>C - Later</x:v>
      </x:c>
      <x:c r="B20" s="181" t="str">
        <x:f>IF(A20="A - First wave","1 - Initial outreach",IF(A20="B - Second wave","2 - Follow-on",IF(A20="C - Later","3 - Opportunistic","Hold")))</x:f>
        <x:v>3 - Opportunistic</x:v>
      </x:c>
      <x:c r="C20" s="181" t="str">
        <x:f>'Seedbomb Source'!B14</x:f>
        <x:v>Dreamschannelive</x:v>
      </x:c>
      <x:c r="D20" s="181" t="str">
        <x:f>'Seedbomb Source'!A14</x:f>
        <x:v>dreamschannelive</x:v>
      </x:c>
      <x:c r="E20" s="181" t="str">
        <x:f>'Seedbomb Source'!E14</x:f>
        <x:v>contact.dreamschannel@gmail.com</x:v>
      </x:c>
      <x:c r="F20" s="181" t="str">
        <x:f>'Seedbomb Source'!C14</x:f>
        <x:v>french</x:v>
      </x:c>
      <x:c r="G20" s="181" t="str">
        <x:f>IF('Seedbomb Source'!D14="","",'Seedbomb Source'!D14)</x:f>
      </x:c>
      <x:c r="H20" s="181" t="str">
        <x:f>IF(OR(COUNTIF('Scoring'!$M$4:$M$14,F20)&gt;0,COUNTIF('Scoring'!$M$4:$M$14,G20)&gt;0),"Supported","Not localized")</x:f>
        <x:v>Supported</x:v>
      </x:c>
      <x:c r="I20" s="187" t="str">
        <x:f>'Seedbomb Source'!F14</x:f>
        <x:v>8973</x:v>
      </x:c>
      <x:c r="J20" s="187" t="str">
        <x:f>'Seedbomb Source'!G14</x:f>
        <x:v>517</x:v>
      </x:c>
      <x:c r="K20" s="181" t="str">
        <x:f>IF(J20&gt;='Scoring'!$I$7,'Scoring'!$K$7,IF(J20&gt;='Scoring'!$I$6,'Scoring'!$K$6,IF(J20&gt;='Scoring'!$I$5,'Scoring'!$K$5,'Scoring'!$K$4)))</x:f>
        <x:v>Small/mid sweet spot</x:v>
      </x:c>
      <x:c r="L20" s="181" t="str">
        <x:f>'Seedbomb Source'!H14</x:f>
        <x:v>RPG,JRPG,Party-Based RPG,3D,Anime,Silent Protagonist,Villain Protagonist,Creature Collector,Turn-Based Combat,Fantasy</x:v>
      </x:c>
      <x:c r="M20" s="181" t="str">
        <x:v>Narrow match: RPG.</x:v>
      </x:c>
      <x:c r="N20" s="193" t="n">
        <x:f>IF(ISNUMBER(SEARCH('Scoring'!$A$4,L20)),'Scoring'!$B$4,0)+IF(ISNUMBER(SEARCH('Scoring'!$A$5,L20)),'Scoring'!$B$5,0)+IF(ISNUMBER(SEARCH('Scoring'!$A$6,L20)),'Scoring'!$B$6,0)+IF(ISNUMBER(SEARCH('Scoring'!$A$7,L20)),'Scoring'!$B$7,0)+IF(ISNUMBER(SEARCH('Scoring'!$A$8,L20)),'Scoring'!$B$8,0)+IF(ISNUMBER(SEARCH('Scoring'!$A$9,L20)),'Scoring'!$B$9,0)+IF(ISNUMBER(SEARCH('Scoring'!$A$10,L20)),'Scoring'!$B$10,0)+IF(ISNUMBER(SEARCH('Scoring'!$A$11,L20)),'Scoring'!$B$11,0)+IF(ISNUMBER(SEARCH('Scoring'!$A$12,L20)),'Scoring'!$B$12,0)+IF(ISNUMBER(SEARCH('Scoring'!$A$13,L20)),'Scoring'!$B$13,0)+IF(ISNUMBER(SEARCH('Scoring'!$A$14,L20)),'Scoring'!$B$14,0)+IF(ISNUMBER(SEARCH('Scoring'!$A$15,L20)),'Scoring'!$B$15,0)+IF(ISNUMBER(SEARCH('Scoring'!$A$16,L20)),'Scoring'!$B$16,0)+IF(ISNUMBER(SEARCH('Scoring'!$A$17,L20)),'Scoring'!$B$17,0)+IF(ISNUMBER(SEARCH('Scoring'!$A$18,L20)),'Scoring'!$B$18,0)+IF(ISNUMBER(SEARCH('Scoring'!$A$19,L20)),'Scoring'!$B$19,0)+IF(ISNUMBER(SEARCH('Scoring'!$A$20,L20)),'Scoring'!$B$20,0)+IF(ISNUMBER(SEARCH('Scoring'!$A$21,L20)),'Scoring'!$B$21,0)+IF(ISNUMBER(SEARCH('Scoring'!$A$22,L20)),'Scoring'!$B$22,0)</x:f>
        <x:v>1</x:v>
      </x:c>
      <x:c r="O20" s="193" t="n">
        <x:f>IF(J20&gt;='Scoring'!$I$7,'Scoring'!$J$7,IF(J20&gt;='Scoring'!$I$6,'Scoring'!$J$6,IF(J20&gt;='Scoring'!$I$5,'Scoring'!$J$5,'Scoring'!$J$4)))</x:f>
        <x:v>4</x:v>
      </x:c>
      <x:c r="P20" s="193" t="n">
        <x:f>IF(H20="Supported",'Scoring'!$F$11,'Scoring'!$F$12)</x:f>
        <x:v>2</x:v>
      </x:c>
      <x:c r="Q20" s="193" t="n">
        <x:f>SUM(N20:P20)</x:f>
        <x:v>7</x:v>
      </x:c>
      <x:c r="R20" s="181" t="str">
        <x:v>Unverified – Seedbomb snapshot</x:v>
      </x:c>
      <x:c r="S20" s="181" t="str">
        <x:v>Not contacted</x:v>
      </x:c>
      <x:c r="T20" s="199"/>
      <x:c r="U20" s="181" t="str">
        <x:v>No</x:v>
      </x:c>
      <x:c r="V20" s="181"/>
      <x:c r="W20" s="181" t="str">
        <x:f>"https://www.twitch.tv/"&amp;D20</x:f>
        <x:v>https://www.twitch.tv/dreamschannelive</x:v>
      </x:c>
      <x:c r="X20" s="181" t="str">
        <x:v>Seedbomb streamers_sample.csv; downloaded 2026-07-24; snapshot date unknown</x:v>
      </x:c>
    </x:row>
    <x:row r="21" ht="54" customHeight="1">
      <x:c r="A21" s="181" t="str">
        <x:f>IF(Q21&gt;='Scoring'!$F$4,"A - First wave",IF(Q21&gt;='Scoring'!$F$5,"B - Second wave",IF(Q21&gt;='Scoring'!$F$6,"C - Later","D - Skip")))</x:f>
        <x:v>C - Later</x:v>
      </x:c>
      <x:c r="B21" s="181" t="str">
        <x:f>IF(A21="A - First wave","1 - Initial outreach",IF(A21="B - Second wave","2 - Follow-on",IF(A21="C - Later","3 - Opportunistic","Hold")))</x:f>
        <x:v>3 - Opportunistic</x:v>
      </x:c>
      <x:c r="C21" s="181" t="str">
        <x:f>'Seedbomb Source'!B15</x:f>
        <x:v>AudaxSmoke</x:v>
      </x:c>
      <x:c r="D21" s="181" t="str">
        <x:f>'Seedbomb Source'!A15</x:f>
        <x:v>audaxsmoke</x:v>
      </x:c>
      <x:c r="E21" s="181" t="str">
        <x:f>'Seedbomb Source'!E15</x:f>
        <x:v>audaxsmoke@gmail.com</x:v>
      </x:c>
      <x:c r="F21" s="181" t="str">
        <x:f>'Seedbomb Source'!C15</x:f>
        <x:v>english</x:v>
      </x:c>
      <x:c r="G21" s="181" t="str">
        <x:f>IF('Seedbomb Source'!D15="","",'Seedbomb Source'!D15)</x:f>
      </x:c>
      <x:c r="H21" s="181" t="str">
        <x:f>IF(OR(COUNTIF('Scoring'!$M$4:$M$14,F21)&gt;0,COUNTIF('Scoring'!$M$4:$M$14,G21)&gt;0),"Supported","Not localized")</x:f>
        <x:v>Supported</x:v>
      </x:c>
      <x:c r="I21" s="187" t="str">
        <x:f>'Seedbomb Source'!F15</x:f>
        <x:v>1875</x:v>
      </x:c>
      <x:c r="J21" s="187" t="str">
        <x:f>'Seedbomb Source'!G15</x:f>
        <x:v>137</x:v>
      </x:c>
      <x:c r="K21" s="181" t="str">
        <x:f>IF(J21&gt;='Scoring'!$I$7,'Scoring'!$K$7,IF(J21&gt;='Scoring'!$I$6,'Scoring'!$K$6,IF(J21&gt;='Scoring'!$I$5,'Scoring'!$K$5,'Scoring'!$K$4)))</x:f>
        <x:v>Small/mid sweet spot</x:v>
      </x:c>
      <x:c r="L21" s="181" t="str">
        <x:f>'Seedbomb Source'!H15</x:f>
        <x:v>RPG,JRPG,Party-Based RPG,3D,Anime,Silent Protagonist,Villain Protagonist,Creature Collector,Turn-Based Combat,Fantasy</x:v>
      </x:c>
      <x:c r="M21" s="181" t="str">
        <x:v>Narrow match: RPG.</x:v>
      </x:c>
      <x:c r="N21" s="193" t="n">
        <x:f>IF(ISNUMBER(SEARCH('Scoring'!$A$4,L21)),'Scoring'!$B$4,0)+IF(ISNUMBER(SEARCH('Scoring'!$A$5,L21)),'Scoring'!$B$5,0)+IF(ISNUMBER(SEARCH('Scoring'!$A$6,L21)),'Scoring'!$B$6,0)+IF(ISNUMBER(SEARCH('Scoring'!$A$7,L21)),'Scoring'!$B$7,0)+IF(ISNUMBER(SEARCH('Scoring'!$A$8,L21)),'Scoring'!$B$8,0)+IF(ISNUMBER(SEARCH('Scoring'!$A$9,L21)),'Scoring'!$B$9,0)+IF(ISNUMBER(SEARCH('Scoring'!$A$10,L21)),'Scoring'!$B$10,0)+IF(ISNUMBER(SEARCH('Scoring'!$A$11,L21)),'Scoring'!$B$11,0)+IF(ISNUMBER(SEARCH('Scoring'!$A$12,L21)),'Scoring'!$B$12,0)+IF(ISNUMBER(SEARCH('Scoring'!$A$13,L21)),'Scoring'!$B$13,0)+IF(ISNUMBER(SEARCH('Scoring'!$A$14,L21)),'Scoring'!$B$14,0)+IF(ISNUMBER(SEARCH('Scoring'!$A$15,L21)),'Scoring'!$B$15,0)+IF(ISNUMBER(SEARCH('Scoring'!$A$16,L21)),'Scoring'!$B$16,0)+IF(ISNUMBER(SEARCH('Scoring'!$A$17,L21)),'Scoring'!$B$17,0)+IF(ISNUMBER(SEARCH('Scoring'!$A$18,L21)),'Scoring'!$B$18,0)+IF(ISNUMBER(SEARCH('Scoring'!$A$19,L21)),'Scoring'!$B$19,0)+IF(ISNUMBER(SEARCH('Scoring'!$A$20,L21)),'Scoring'!$B$20,0)+IF(ISNUMBER(SEARCH('Scoring'!$A$21,L21)),'Scoring'!$B$21,0)+IF(ISNUMBER(SEARCH('Scoring'!$A$22,L21)),'Scoring'!$B$22,0)</x:f>
        <x:v>1</x:v>
      </x:c>
      <x:c r="O21" s="193" t="n">
        <x:f>IF(J21&gt;='Scoring'!$I$7,'Scoring'!$J$7,IF(J21&gt;='Scoring'!$I$6,'Scoring'!$J$6,IF(J21&gt;='Scoring'!$I$5,'Scoring'!$J$5,'Scoring'!$J$4)))</x:f>
        <x:v>4</x:v>
      </x:c>
      <x:c r="P21" s="193" t="n">
        <x:f>IF(H21="Supported",'Scoring'!$F$11,'Scoring'!$F$12)</x:f>
        <x:v>2</x:v>
      </x:c>
      <x:c r="Q21" s="193" t="n">
        <x:f>SUM(N21:P21)</x:f>
        <x:v>7</x:v>
      </x:c>
      <x:c r="R21" s="181" t="str">
        <x:v>Unverified – Seedbomb snapshot</x:v>
      </x:c>
      <x:c r="S21" s="181" t="str">
        <x:v>Not contacted</x:v>
      </x:c>
      <x:c r="T21" s="199"/>
      <x:c r="U21" s="181" t="str">
        <x:v>No</x:v>
      </x:c>
      <x:c r="V21" s="181"/>
      <x:c r="W21" s="181" t="str">
        <x:f>"https://www.twitch.tv/"&amp;D21</x:f>
        <x:v>https://www.twitch.tv/audaxsmoke</x:v>
      </x:c>
      <x:c r="X21" s="181" t="str">
        <x:v>Seedbomb streamers_sample.csv; downloaded 2026-07-24; snapshot date unknown</x:v>
      </x:c>
    </x:row>
    <x:row r="22" ht="54" customHeight="1">
      <x:c r="A22" s="182" t="str">
        <x:f>IF(Q22&gt;='Scoring'!$F$4,"A - First wave",IF(Q22&gt;='Scoring'!$F$5,"B - Second wave",IF(Q22&gt;='Scoring'!$F$6,"C - Later","D - Skip")))</x:f>
        <x:v>C - Later</x:v>
      </x:c>
      <x:c r="B22" s="182" t="str">
        <x:f>IF(A22="A - First wave","1 - Initial outreach",IF(A22="B - Second wave","2 - Follow-on",IF(A22="C - Later","3 - Opportunistic","Hold")))</x:f>
        <x:v>3 - Opportunistic</x:v>
      </x:c>
      <x:c r="C22" s="182" t="str">
        <x:f>'Seedbomb Source'!B16</x:f>
        <x:v>ALEDreamgameon</x:v>
      </x:c>
      <x:c r="D22" s="182" t="str">
        <x:f>'Seedbomb Source'!A16</x:f>
        <x:v>aledreamgameon</x:v>
      </x:c>
      <x:c r="E22" s="182" t="str">
        <x:f>'Seedbomb Source'!E16</x:f>
        <x:v>ALEDream@aledream.com</x:v>
      </x:c>
      <x:c r="F22" s="182" t="str">
        <x:f>'Seedbomb Source'!C16</x:f>
        <x:v>english</x:v>
      </x:c>
      <x:c r="G22" s="182" t="str">
        <x:f>IF('Seedbomb Source'!D16="","",'Seedbomb Source'!D16)</x:f>
      </x:c>
      <x:c r="H22" s="182" t="str">
        <x:f>IF(OR(COUNTIF('Scoring'!$M$4:$M$14,F22)&gt;0,COUNTIF('Scoring'!$M$4:$M$14,G22)&gt;0),"Supported","Not localized")</x:f>
        <x:v>Supported</x:v>
      </x:c>
      <x:c r="I22" s="188" t="str">
        <x:f>'Seedbomb Source'!F16</x:f>
        <x:v>7250</x:v>
      </x:c>
      <x:c r="J22" s="188" t="str">
        <x:f>'Seedbomb Source'!G16</x:f>
        <x:v>108</x:v>
      </x:c>
      <x:c r="K22" s="182" t="str">
        <x:f>IF(J22&gt;='Scoring'!$I$7,'Scoring'!$K$7,IF(J22&gt;='Scoring'!$I$6,'Scoring'!$K$6,IF(J22&gt;='Scoring'!$I$5,'Scoring'!$K$5,'Scoring'!$K$4)))</x:f>
        <x:v>Small/mid sweet spot</x:v>
      </x:c>
      <x:c r="L22" s="182" t="str">
        <x:f>'Seedbomb Source'!H16</x:f>
        <x:v>Casual,Singleplayer,3D,PvP,Multiplayer,Action,Strategy,Horror,First-Person,Local Multiplayer</x:v>
      </x:c>
      <x:c r="M22" s="182" t="str">
        <x:v>Partial match: Strategy, Singleplayer.</x:v>
      </x:c>
      <x:c r="N22" s="194" t="n">
        <x:f>IF(ISNUMBER(SEARCH('Scoring'!$A$4,L22)),'Scoring'!$B$4,0)+IF(ISNUMBER(SEARCH('Scoring'!$A$5,L22)),'Scoring'!$B$5,0)+IF(ISNUMBER(SEARCH('Scoring'!$A$6,L22)),'Scoring'!$B$6,0)+IF(ISNUMBER(SEARCH('Scoring'!$A$7,L22)),'Scoring'!$B$7,0)+IF(ISNUMBER(SEARCH('Scoring'!$A$8,L22)),'Scoring'!$B$8,0)+IF(ISNUMBER(SEARCH('Scoring'!$A$9,L22)),'Scoring'!$B$9,0)+IF(ISNUMBER(SEARCH('Scoring'!$A$10,L22)),'Scoring'!$B$10,0)+IF(ISNUMBER(SEARCH('Scoring'!$A$11,L22)),'Scoring'!$B$11,0)+IF(ISNUMBER(SEARCH('Scoring'!$A$12,L22)),'Scoring'!$B$12,0)+IF(ISNUMBER(SEARCH('Scoring'!$A$13,L22)),'Scoring'!$B$13,0)+IF(ISNUMBER(SEARCH('Scoring'!$A$14,L22)),'Scoring'!$B$14,0)+IF(ISNUMBER(SEARCH('Scoring'!$A$15,L22)),'Scoring'!$B$15,0)+IF(ISNUMBER(SEARCH('Scoring'!$A$16,L22)),'Scoring'!$B$16,0)+IF(ISNUMBER(SEARCH('Scoring'!$A$17,L22)),'Scoring'!$B$17,0)+IF(ISNUMBER(SEARCH('Scoring'!$A$18,L22)),'Scoring'!$B$18,0)+IF(ISNUMBER(SEARCH('Scoring'!$A$19,L22)),'Scoring'!$B$19,0)+IF(ISNUMBER(SEARCH('Scoring'!$A$20,L22)),'Scoring'!$B$20,0)+IF(ISNUMBER(SEARCH('Scoring'!$A$21,L22)),'Scoring'!$B$21,0)+IF(ISNUMBER(SEARCH('Scoring'!$A$22,L22)),'Scoring'!$B$22,0)</x:f>
        <x:v>3</x:v>
      </x:c>
      <x:c r="O22" s="194" t="n">
        <x:f>IF(J22&gt;='Scoring'!$I$7,'Scoring'!$J$7,IF(J22&gt;='Scoring'!$I$6,'Scoring'!$J$6,IF(J22&gt;='Scoring'!$I$5,'Scoring'!$J$5,'Scoring'!$J$4)))</x:f>
        <x:v>4</x:v>
      </x:c>
      <x:c r="P22" s="194" t="n">
        <x:f>IF(H22="Supported",'Scoring'!$F$11,'Scoring'!$F$12)</x:f>
        <x:v>2</x:v>
      </x:c>
      <x:c r="Q22" s="194" t="n">
        <x:f>SUM(N22:P22)</x:f>
        <x:v>9</x:v>
      </x:c>
      <x:c r="R22" s="182" t="str">
        <x:v>Unverified – Seedbomb snapshot</x:v>
      </x:c>
      <x:c r="S22" s="182" t="str">
        <x:v>Not contacted</x:v>
      </x:c>
      <x:c r="T22" s="200"/>
      <x:c r="U22" s="182" t="str">
        <x:v>No</x:v>
      </x:c>
      <x:c r="V22" s="182"/>
      <x:c r="W22" s="182" t="str">
        <x:f>"https://www.twitch.tv/"&amp;D22</x:f>
        <x:v>https://www.twitch.tv/aledreamgameon</x:v>
      </x:c>
      <x:c r="X22" s="182" t="str">
        <x:v>Seedbomb streamers_sample.csv; downloaded 2026-07-24; snapshot date unknown</x:v>
      </x:c>
    </x:row>
  </x:sheetData>
  <x:mergeCells>
    <x:mergeCell ref="A1:X1"/>
    <x:mergeCell ref="A2:X2"/>
  </x:mergeCells>
  <x:conditionalFormatting sqref="A8:A22">
    <x:cfRule type="beginsWith" dxfId="0" priority="1" operator="beginsWith" text="A"/>
    <x:cfRule type="beginsWith" dxfId="1" priority="2" operator="beginsWith" text="B"/>
    <x:cfRule type="beginsWith" dxfId="2" priority="3" operator="beginsWith" text="C"/>
    <x:cfRule type="beginsWith" dxfId="3" priority="4" operator="beginsWith" text="D"/>
  </x:conditionalFormatting>
  <x:conditionalFormatting sqref="Q8:Q22">
    <x:cfRule type="colorScale" priority="5">
      <x:colorScale>
        <x:cfvo type="min"/>
        <x:cfvo type="percentile" val="50"/>
        <x:cfvo type="max"/>
        <x:color rgb="FFE7E6E6"/>
        <x:color rgb="FFFFF2CC"/>
        <x:color rgb="FFD9EAD3"/>
      </x:colorScale>
    </x:cfRule>
  </x:conditionalFormatting>
  <x:dataValidations count="2">
    <x:dataValidation type="list" sqref="S8:S22">
      <x:formula1>"Not contacted,Queued,Emailed,Followed up,Replied,Declined,Covered"</x:formula1>
    </x:dataValidation>
    <x:dataValidation type="list" sqref="U8:U22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c04b657d5248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31" hidden="0" customWidth="1"/>
    <x:col min="5" max="5" width="13" hidden="0" customWidth="1"/>
    <x:col min="6" max="6" width="15" hidden="0" customWidth="1"/>
    <x:col min="7" max="7" width="34" hidden="0" customWidth="1"/>
    <x:col min="8" max="8" width="42" hidden="0" customWidth="1"/>
    <x:col min="9" max="9" width="48" hidden="0" customWidth="1"/>
    <x:col min="10" max="10" width="30" hidden="0" customWidth="1"/>
    <x:col min="11" max="11" width="42" hidden="0" customWidth="1"/>
    <x:col min="12" max="12" width="38" hidden="0" customWidth="1"/>
  </x:cols>
  <x:sheetData>
    <x:row r="1" ht="30" customHeight="1">
      <x:c r="A1" s="114" t="str">
        <x:v>Marque &amp; Reprisal – Curated Creator Leads</x:v>
      </x:c>
      <x:c r="B1" s="114"/>
      <x:c r="C1" s="114"/>
      <x:c r="D1" s="114"/>
      <x:c r="E1" s="114"/>
      <x:c r="F1" s="114"/>
      <x:c r="G1" s="114"/>
      <x:c r="H1" s="114"/>
      <x:c r="I1" s="114"/>
      <x:c r="J1" s="114"/>
      <x:c r="K1" s="114"/>
      <x:c r="L1" s="114"/>
    </x:row>
    <x:row r="2" ht="36" customHeight="1">
      <x:c r="A2" s="130" t="str">
        <x:v>Shortlist derived from public indie-creator compilations, then checked against public creator pages on 2026-07-24. Verify activity and the business email again immediately before outreach.</x:v>
      </x:c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2"/>
    </x:row>
    <x:row r="4" ht="34" customHeight="1">
      <x:c r="A4" s="206" t="str">
        <x:v>Priority</x:v>
      </x:c>
      <x:c r="B4" s="206" t="str">
        <x:v>Creator</x:v>
      </x:c>
      <x:c r="C4" s="206" t="str">
        <x:v>Platform</x:v>
      </x:c>
      <x:c r="D4" s="206" t="str">
        <x:v>Public business email</x:v>
      </x:c>
      <x:c r="E4" s="206" t="str">
        <x:v>Language</x:v>
      </x:c>
      <x:c r="F4" s="206" t="str">
        <x:v>Audience size</x:v>
      </x:c>
      <x:c r="G4" s="206" t="str">
        <x:v>Audience detail</x:v>
      </x:c>
      <x:c r="H4" s="206" t="str">
        <x:v>Coverage focus</x:v>
      </x:c>
      <x:c r="I4" s="206" t="str">
        <x:v>Why it fits Marque &amp; Reprisal</x:v>
      </x:c>
      <x:c r="J4" s="206" t="str">
        <x:v>Verification</x:v>
      </x:c>
      <x:c r="K4" s="206" t="str">
        <x:v>Contact source</x:v>
      </x:c>
      <x:c r="L4" s="206" t="str">
        <x:v>Channel</x:v>
      </x:c>
    </x:row>
    <x:row r="5" ht="62" customHeight="1">
      <x:c r="A5" s="180" t="str">
        <x:v>A - First wave</x:v>
      </x:c>
      <x:c r="B5" s="180" t="str">
        <x:v>GamerZakh</x:v>
      </x:c>
      <x:c r="C5" s="180" t="str">
        <x:v>YouTube + Twitch</x:v>
      </x:c>
      <x:c r="D5" s="180" t="str">
        <x:v>gamerzakh@gmail.com</x:v>
      </x:c>
      <x:c r="E5" s="180" t="str">
        <x:v>English</x:v>
      </x:c>
      <x:c r="F5" s="186" t="n">
        <x:v>226000</x:v>
      </x:c>
      <x:c r="G5" s="180" t="str">
        <x:v>10K–50K average video views; 800–1,200 unique live viewers</x:v>
      </x:c>
      <x:c r="H5" s="180" t="str">
        <x:v>Nostalgia, strategy, and simulation. Covers modern games that evoke older PC games.</x:v>
      </x:c>
      <x:c r="I5" s="180" t="str">
        <x:v>The direct Uncharted Waters II homage and historical systems are unusually strong hooks.</x:v>
      </x:c>
      <x:c r="J5" s="180" t="str">
        <x:v>Verified 2026-07-24</x:v>
      </x:c>
      <x:c r="K5" s="180" t="str">
        <x:v>https://gamerzakh.com/contact/</x:v>
      </x:c>
      <x:c r="L5" s="180" t="str">
        <x:v>https://www.youtube.com/@GamerZakh</x:v>
      </x:c>
    </x:row>
    <x:row r="6" ht="62" customHeight="1">
      <x:c r="A6" s="181" t="str">
        <x:v>A - First wave</x:v>
      </x:c>
      <x:c r="B6" s="181" t="str">
        <x:v>Nookrium</x:v>
      </x:c>
      <x:c r="C6" s="181" t="str">
        <x:v>YouTube + Twitch</x:v>
      </x:c>
      <x:c r="D6" s="181" t="str">
        <x:v>nookrium@gmail.com</x:v>
      </x:c>
      <x:c r="E6" s="181" t="str">
        <x:v>English</x:v>
      </x:c>
      <x:c r="F6" s="187" t="n">
        <x:v>186000</x:v>
      </x:c>
      <x:c r="G6" s="181" t="str">
        <x:v>Daily uploads; current subscriber count from Social Blade</x:v>
      </x:c>
      <x:c r="H6" s="181" t="str">
        <x:v>Indie discoveries with a strong strategy, simulation, colony-building, and retro-game bias.</x:v>
      </x:c>
      <x:c r="I6" s="181" t="str">
        <x:v>Strong systems and sandbox audience; good candidate for a demo-first pitch.</x:v>
      </x:c>
      <x:c r="J6" s="181" t="str">
        <x:v>Email public but re-check before sending</x:v>
      </x:c>
      <x:c r="K6" s="181" t="str">
        <x:v>https://itch.io/post/4481827</x:v>
      </x:c>
      <x:c r="L6" s="181" t="str">
        <x:v>https://www.youtube.com/@Nookrium</x:v>
      </x:c>
    </x:row>
    <x:row r="7" ht="62" customHeight="1">
      <x:c r="A7" s="181" t="str">
        <x:v>B - Second wave</x:v>
      </x:c>
      <x:c r="B7" s="181" t="str">
        <x:v>Wanderbots</x:v>
      </x:c>
      <x:c r="C7" s="181" t="str">
        <x:v>YouTube + Twitch</x:v>
      </x:c>
      <x:c r="D7" s="181" t="str">
        <x:v>wanderbots@gmail.com</x:v>
      </x:c>
      <x:c r="E7" s="181" t="str">
        <x:v>English</x:v>
      </x:c>
      <x:c r="F7" s="187" t="n">
        <x:v>520000</x:v>
      </x:c>
      <x:c r="G7" s="181" t="str">
        <x:v>Large indie-focused channel</x:v>
      </x:c>
      <x:c r="H7" s="181" t="str">
        <x:v>Indie games, roguelikes, strategy, and simulation; previously covered Star Nomad 2.</x:v>
      </x:c>
      <x:c r="I7" s="181" t="str">
        <x:v>Star Nomad 2 is mechanically close: open-world trading, piracy, factions, and roguelike mode.</x:v>
      </x:c>
      <x:c r="J7" s="181" t="str">
        <x:v>Current public business email; ambitious reach</x:v>
      </x:c>
      <x:c r="K7" s="181" t="str">
        <x:v>https://www.vlogfund.com/en/youtube-channels/wanderbots/</x:v>
      </x:c>
      <x:c r="L7" s="181" t="str">
        <x:v>https://www.youtube.com/@wanderbots</x:v>
      </x:c>
    </x:row>
    <x:row r="8" ht="62" customHeight="1">
      <x:c r="A8" s="181" t="str">
        <x:v>B - Second wave</x:v>
      </x:c>
      <x:c r="B8" s="181" t="str">
        <x:v>Olexa</x:v>
      </x:c>
      <x:c r="C8" s="181" t="str">
        <x:v>YouTube</x:v>
      </x:c>
      <x:c r="D8" s="181" t="str">
        <x:v>olexakid@gmail.com</x:v>
      </x:c>
      <x:c r="E8" s="181" t="str">
        <x:v>English</x:v>
      </x:c>
      <x:c r="F8" s="187" t="n">
        <x:v>285000</x:v>
      </x:c>
      <x:c r="G8" s="181" t="str">
        <x:v>Active in July 2026</x:v>
      </x:c>
      <x:c r="H8" s="181" t="str">
        <x:v>Indie roguelikes, puzzle games, and simulators.</x:v>
      </x:c>
      <x:c r="I8" s="181" t="str">
        <x:v>Covered Ship of Fools, a seafaring roguelite; strong genre-language match.</x:v>
      </x:c>
      <x:c r="J8" s="181" t="str">
        <x:v>Verified 2026-07-24</x:v>
      </x:c>
      <x:c r="K8" s="181" t="str">
        <x:v>https://www.youtube.com/watch?v=Id079AP47JY</x:v>
      </x:c>
      <x:c r="L8" s="181" t="str">
        <x:v>https://www.youtube.com/@OlexaYT</x:v>
      </x:c>
    </x:row>
    <x:row r="9" ht="62" customHeight="1">
      <x:c r="A9" s="181" t="str">
        <x:v>B - Second wave</x:v>
      </x:c>
      <x:c r="B9" s="181" t="str">
        <x:v>Retromation</x:v>
      </x:c>
      <x:c r="C9" s="181" t="str">
        <x:v>YouTube + Twitch</x:v>
      </x:c>
      <x:c r="D9" s="181" t="str">
        <x:v>retromation750@gmail.com</x:v>
      </x:c>
      <x:c r="E9" s="181" t="str">
        <x:v>English</x:v>
      </x:c>
      <x:c r="F9" s="187" t="n">
        <x:v>285000</x:v>
      </x:c>
      <x:c r="G9" s="181" t="str">
        <x:v>Daily gaming videos</x:v>
      </x:c>
      <x:c r="H9" s="181" t="str">
        <x:v>Roguelikes, roguelites, and overlooked indie games.</x:v>
      </x:c>
      <x:c r="I9" s="181" t="str">
        <x:v>Strong run-based-game audience, though less specifically sailing or historical.</x:v>
      </x:c>
      <x:c r="J9" s="181" t="str">
        <x:v>Public business email; verify before sending</x:v>
      </x:c>
      <x:c r="K9" s="181" t="str">
        <x:v>https://similarchannels.com/c/retromation</x:v>
      </x:c>
      <x:c r="L9" s="181" t="str">
        <x:v>https://www.youtube.com/@Retromation</x:v>
      </x:c>
    </x:row>
    <x:row r="10" ht="62" customHeight="1">
      <x:c r="A10" s="181" t="str">
        <x:v>B - Second wave</x:v>
      </x:c>
      <x:c r="B10" s="181" t="str">
        <x:v>Alpha Beta Gamer</x:v>
      </x:c>
      <x:c r="C10" s="181" t="str">
        <x:v>YouTube + website</x:v>
      </x:c>
      <x:c r="D10" s="181" t="str">
        <x:v>admin@alphabetagamer.com</x:v>
      </x:c>
      <x:c r="E10" s="181" t="str">
        <x:v>English</x:v>
      </x:c>
      <x:c r="F10" s="187" t="n">
        <x:v>860000</x:v>
      </x:c>
      <x:c r="G10" s="181" t="str">
        <x:v>Large indie discovery channel; explicitly accepts submissions</x:v>
      </x:c>
      <x:c r="H10" s="181" t="str">
        <x:v>Interesting and overlooked indie games, including demos and in-development builds.</x:v>
      </x:c>
      <x:c r="I10" s="181" t="str">
        <x:v>Not a conventional streamer, but the public submission route makes this a worthwhile pitch.</x:v>
      </x:c>
      <x:c r="J10" s="181" t="str">
        <x:v>Verified 2026-07-24</x:v>
      </x:c>
      <x:c r="K10" s="181" t="str">
        <x:v>https://www.alphabetagamer.com/contact-us/</x:v>
      </x:c>
      <x:c r="L10" s="181" t="str">
        <x:v>https://www.youtube.com/@AlphaBetaGamer</x:v>
      </x:c>
    </x:row>
    <x:row r="11" ht="62" customHeight="1">
      <x:c r="A11" s="181" t="str">
        <x:v>B - Second wave</x:v>
      </x:c>
      <x:c r="B11" s="181" t="str">
        <x:v>Best Indie Games / ClemmyGames</x:v>
      </x:c>
      <x:c r="C11" s="181" t="str">
        <x:v>YouTube</x:v>
      </x:c>
      <x:c r="D11" s="181" t="str">
        <x:v>clemmygames@gmail.com</x:v>
      </x:c>
      <x:c r="E11" s="181" t="str">
        <x:v>English</x:v>
      </x:c>
      <x:c r="F11" s="187" t="n">
        <x:v>153000</x:v>
      </x:c>
      <x:c r="G11" s="181" t="str">
        <x:v>Subscriber count from creator's January 2024 guide</x:v>
      </x:c>
      <x:c r="H11" s="181" t="str">
        <x:v>Indie-game discovery, previews, lists, and recommendations.</x:v>
      </x:c>
      <x:c r="I11" s="181" t="str">
        <x:v>Good discovery channel for a visually distinctive systems-heavy indie; metrics need refreshing.</x:v>
      </x:c>
      <x:c r="J11" s="181" t="str">
        <x:v>Email public; audience figure dated</x:v>
      </x:c>
      <x:c r="K11" s="181" t="str">
        <x:v>https://calmpewter.games/downloads/Creator_Email_Marketing_Guide__Templates_Versio.pdf</x:v>
      </x:c>
      <x:c r="L11" s="181" t="str">
        <x:v>https://www.youtube.com/@ClemmyGames</x:v>
      </x:c>
    </x:row>
    <x:row r="12" ht="62" customHeight="1">
      <x:c r="A12" s="182" t="str">
        <x:v>C - Later</x:v>
      </x:c>
      <x:c r="B12" s="182" t="str">
        <x:v>SplatterCatGaming</x:v>
      </x:c>
      <x:c r="C12" s="182" t="str">
        <x:v>YouTube</x:v>
      </x:c>
      <x:c r="D12" s="182" t="str">
        <x:v>splattercatgaming@gmail.com</x:v>
      </x:c>
      <x:c r="E12" s="182" t="str">
        <x:v>English</x:v>
      </x:c>
      <x:c r="F12" s="188" t="n">
        <x:v>982000</x:v>
      </x:c>
      <x:c r="G12" s="182" t="str">
        <x:v>Very large indie-impressions channel</x:v>
      </x:c>
      <x:c r="H12" s="182" t="str">
        <x:v>High-volume first looks at indie RPG, strategy, survival, simulation, and roguelike games.</x:v>
      </x:c>
      <x:c r="I12" s="182" t="str">
        <x:v>Excellent general fit but a difficult cold pitch; move up after smaller-creator coverage.</x:v>
      </x:c>
      <x:c r="J12" s="182" t="str">
        <x:v>Verified 2026-07-24</x:v>
      </x:c>
      <x:c r="K12" s="182" t="str">
        <x:v>https://www.vlogfund.com/en/youtube-channels/splattercatgaming/</x:v>
      </x:c>
      <x:c r="L12" s="182" t="str">
        <x:v>https://www.youtube.com/@Splattercatgaming</x:v>
      </x:c>
    </x:row>
  </x:sheetData>
  <x:mergeCells>
    <x:mergeCell ref="A1:L1"/>
    <x:mergeCell ref="A2:L2"/>
  </x:mergeCells>
  <x:conditionalFormatting sqref="A5:A12">
    <x:cfRule type="beginsWith" dxfId="4" priority="1" operator="beginsWith" text="A"/>
    <x:cfRule type="beginsWith" dxfId="5" priority="2" operator="beginsWith" text="B"/>
    <x:cfRule type="beginsWith" dxfId="6" priority="3" operator="beginsWith" text="C"/>
  </x:conditionalFormatting>
  <x:pageMargins left="0.7" right="0.7" top="0.75" bottom="0.75" header="0.3" footer="0.3"/>
  <x:tableParts count="1">
    <x:tablePart xmlns:r="http://schemas.openxmlformats.org/officeDocument/2006/relationships" r:id="R3bdfd9527b4f43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27" hidden="0" customWidth="1"/>
    <x:col min="4" max="4" width="52" hidden="0" customWidth="1"/>
    <x:col min="5" max="5" width="52" hidden="0" customWidth="1"/>
    <x:col min="6" max="6" width="58" hidden="0" customWidth="1"/>
    <x:col min="7" max="7" width="14" hidden="0" customWidth="1"/>
  </x:cols>
  <x:sheetData>
    <x:row r="1" ht="30" customHeight="1">
      <x:c r="A1" s="114" t="str">
        <x:v>Creator Research Sources</x:v>
      </x:c>
      <x:c r="B1" s="114"/>
      <x:c r="C1" s="114"/>
      <x:c r="D1" s="114"/>
      <x:c r="E1" s="114"/>
      <x:c r="F1" s="114"/>
      <x:c r="G1" s="114"/>
    </x:row>
    <x:row r="2" ht="38" customHeight="1">
      <x:c r="A2" s="130" t="str">
        <x:v>Use compiled directories for discovery, not indiscriminate mailing. The best next expansion is recent coverage of comparable games, with every channel and business email checked manually.</x:v>
      </x:c>
      <x:c r="B2" s="131"/>
      <x:c r="C2" s="131"/>
      <x:c r="D2" s="131"/>
      <x:c r="E2" s="131"/>
      <x:c r="F2" s="131"/>
      <x:c r="G2" s="132"/>
    </x:row>
    <x:row r="4" ht="30" customHeight="1">
      <x:c r="A4" s="206" t="str">
        <x:v>Resource</x:v>
      </x:c>
      <x:c r="B4" s="206" t="str">
        <x:v>Type</x:v>
      </x:c>
      <x:c r="C4" s="206" t="str">
        <x:v>Access</x:v>
      </x:c>
      <x:c r="D4" s="206" t="str">
        <x:v>Best use</x:v>
      </x:c>
      <x:c r="E4" s="206" t="str">
        <x:v>Limitation</x:v>
      </x:c>
      <x:c r="F4" s="206" t="str">
        <x:v>URL</x:v>
      </x:c>
      <x:c r="G4" s="206" t="str">
        <x:v>Checked</x:v>
      </x:c>
    </x:row>
    <x:row r="5" ht="58" customHeight="1">
      <x:c r="A5" s="180" t="str">
        <x:v>Seedbomb export</x:v>
      </x:c>
      <x:c r="B5" s="180" t="str">
        <x:v>Downloaded CSV</x:v>
      </x:c>
      <x:c r="C5" s="180" t="str">
        <x:v>Available locally</x:v>
      </x:c>
      <x:c r="D5" s="180" t="str">
        <x:v>Initial Twitch candidates filtered by Steam-style tags, language, and audience size.</x:v>
      </x:c>
      <x:c r="E5" s="180" t="str">
        <x:v>Snapshot date is not included; every row needs verification.</x:v>
      </x:c>
      <x:c r="F5" s="180" t="str">
        <x:v>file:///Users/garrettpetersen/Downloads/streamers_sample.csv</x:v>
      </x:c>
      <x:c r="G5" s="180" t="str">
        <x:v>2026-07-24</x:v>
      </x:c>
    </x:row>
    <x:row r="6" ht="58" customHeight="1">
      <x:c r="A6" s="181" t="str">
        <x:v>itch.io community compilation</x:v>
      </x:c>
      <x:c r="B6" s="181" t="str">
        <x:v>Public creator directory</x:v>
      </x:c>
      <x:c r="C6" s="181" t="str">
        <x:v>Free</x:v>
      </x:c>
      <x:c r="D6" s="181" t="str">
        <x:v>Broad lead generation for indie-focused YouTubers and streamers; source of the curated shortlist.</x:v>
      </x:c>
      <x:c r="E6" s="181" t="str">
        <x:v>Created 2025-10-30 and intentionally includes inactive channels; screen each candidate.</x:v>
      </x:c>
      <x:c r="F6" s="181" t="str">
        <x:v>https://itch.io/t/5481376/an-archived-database-of-mostly-indie-game-youtubersstreamers</x:v>
      </x:c>
      <x:c r="G6" s="181" t="str">
        <x:v>2026-07-24</x:v>
      </x:c>
    </x:row>
    <x:row r="7" ht="58" customHeight="1">
      <x:c r="A7" s="181" t="str">
        <x:v>Game Marketing Intel streamer database</x:v>
      </x:c>
      <x:c r="B7" s="181" t="str">
        <x:v>Searchable creator database</x:v>
      </x:c>
      <x:c r="C7" s="181" t="str">
        <x:v>Free registration for newsletter subscribers</x:v>
      </x:c>
      <x:c r="D7" s="181" t="str">
        <x:v>Search YouTube creators by games similar to Marque &amp; Reprisal; some profiles include contact info.</x:v>
      </x:c>
      <x:c r="E7" s="181" t="str">
        <x:v>Login required; not imported yet.</x:v>
      </x:c>
      <x:c r="F7" s="181" t="str">
        <x:v>https://streamers.gamemarketingintel.com/</x:v>
      </x:c>
      <x:c r="G7" s="181" t="str">
        <x:v>2026-07-24</x:v>
      </x:c>
    </x:row>
    <x:row r="8" ht="58" customHeight="1">
      <x:c r="A8" s="181" t="str">
        <x:v>Key Lynx</x:v>
      </x:c>
      <x:c r="B8" s="181" t="str">
        <x:v>Creator discovery + key distribution</x:v>
      </x:c>
      <x:c r="C8" s="181" t="str">
        <x:v>Developer account</x:v>
      </x:c>
      <x:c r="D8" s="181" t="str">
        <x:v>List the game, filter verified creators by genre and audience, approve requests, and track coverage.</x:v>
      </x:c>
      <x:c r="E8" s="181" t="str">
        <x:v>Requires an account and keys; use once the Steam keys are ready.</x:v>
      </x:c>
      <x:c r="F8" s="181" t="str">
        <x:v>https://keylynx.gg/</x:v>
      </x:c>
      <x:c r="G8" s="181" t="str">
        <x:v>2026-07-24</x:v>
      </x:c>
    </x:row>
    <x:row r="9" ht="58" customHeight="1">
      <x:c r="A9" s="181" t="str">
        <x:v>Keymailer</x:v>
      </x:c>
      <x:c r="B9" s="181" t="str">
        <x:v>Creator discovery + key distribution</x:v>
      </x:c>
      <x:c r="C9" s="181" t="str">
        <x:v>Account required</x:v>
      </x:c>
      <x:c r="D9" s="181" t="str">
        <x:v>Supplement direct email with verified creator requests and key tracking.</x:v>
      </x:c>
      <x:c r="E9" s="181" t="str">
        <x:v>Opaque results and less personal than direct outreach.</x:v>
      </x:c>
      <x:c r="F9" s="181" t="str">
        <x:v>https://keymailer.co/</x:v>
      </x:c>
      <x:c r="G9" s="181" t="str">
        <x:v>2026-07-24</x:v>
      </x:c>
    </x:row>
    <x:row r="10" ht="58" customHeight="1">
      <x:c r="A10" s="181" t="str">
        <x:v>CreatorFetch</x:v>
      </x:c>
      <x:c r="B10" s="181" t="str">
        <x:v>Search + outreach database</x:v>
      </x:c>
      <x:c r="C10" s="181" t="str">
        <x:v>14-day trial; 20 creator profiles</x:v>
      </x:c>
      <x:c r="D10" s="181" t="str">
        <x:v>Cross-platform discovery with public business emails and engagement filters.</x:v>
      </x:c>
      <x:c r="E10" s="181" t="str">
        <x:v>Paid plans start at $240/month; only use the trial for a focused comparable-game search.</x:v>
      </x:c>
      <x:c r="F10" s="181" t="str">
        <x:v>https://www.creatorfetch.com/</x:v>
      </x:c>
      <x:c r="G10" s="181" t="str">
        <x:v>2026-07-24</x:v>
      </x:c>
    </x:row>
    <x:row r="11" ht="58" customHeight="1">
      <x:c r="A11" s="181" t="str">
        <x:v>SullyGnome</x:v>
      </x:c>
      <x:c r="B11" s="181" t="str">
        <x:v>Public Twitch analytics</x:v>
      </x:c>
      <x:c r="C11" s="181" t="str">
        <x:v>Free</x:v>
      </x:c>
      <x:c r="D11" s="181" t="str">
        <x:v>Find active channels that recently streamed close comparables, then verify contact details manually.</x:v>
      </x:c>
      <x:c r="E11" s="181" t="str">
        <x:v>Analytics source, not an email directory.</x:v>
      </x:c>
      <x:c r="F11" s="181" t="str">
        <x:v>https://sullygnome.com/</x:v>
      </x:c>
      <x:c r="G11" s="181" t="str">
        <x:v>2026-07-24</x:v>
      </x:c>
    </x:row>
    <x:row r="12" ht="58" customHeight="1">
      <x:c r="A12" s="181" t="str">
        <x:v>Waltman Spreadsheet</x:v>
      </x:c>
      <x:c r="B12" s="181" t="str">
        <x:v>Archived PDF directory</x:v>
      </x:c>
      <x:c r="C12" s="181" t="str">
        <x:v>Free</x:v>
      </x:c>
      <x:c r="D12" s="181" t="str">
        <x:v>Cross-check older indie creator names and historical public contact details.</x:v>
      </x:c>
      <x:c r="E12" s="181" t="str">
        <x:v>Compiled in 2020; treat every email and activity note as stale until independently verified.</x:v>
      </x:c>
      <x:c r="F12" s="181" t="str">
        <x:v>https://cpb-us-w2.wpmucdn.com/iblog.iup.edu/dist/a/871/files/2020/11/Waltman-Spreadsheet.pdf</x:v>
      </x:c>
      <x:c r="G12" s="181" t="str">
        <x:v>2026-07-24</x:v>
      </x:c>
    </x:row>
    <x:row r="13" ht="58" customHeight="1">
      <x:c r="A13" s="182" t="str">
        <x:v>Comparable-game searches</x:v>
      </x:c>
      <x:c r="B13" s="182" t="str">
        <x:v>Manual YouTube/Twitch research</x:v>
      </x:c>
      <x:c r="C13" s="182" t="str">
        <x:v>Free</x:v>
      </x:c>
      <x:c r="D13" s="182" t="str">
        <x:v>Search recent coverage of Sailing Era, Sailwind, Sunless Sea, Horizon's Gate, Nantucket, Star Nomad 2, Ship of Fools, and Abandon Ship.</x:v>
      </x:c>
      <x:c r="E13" s="182" t="str">
        <x:v>Slower, but likely to produce the best-fit creators.</x:v>
      </x:c>
      <x:c r="F13" s="182" t="str">
        <x:v>https://www.youtube.com/</x:v>
      </x:c>
      <x:c r="G13" s="182" t="str">
        <x:v>2026-07-24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da170b1bf7340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34" hidden="0" customWidth="1"/>
    <x:col min="5" max="5" width="18" hidden="0" customWidth="1"/>
    <x:col min="6" max="6" width="18" hidden="0" customWidth="1"/>
    <x:col min="7" max="7" width="34" hidden="0" customWidth="1"/>
    <x:col min="9" max="9" width="22" hidden="0" customWidth="1"/>
    <x:col min="10" max="10" width="10" hidden="0" customWidth="1"/>
    <x:col min="11" max="11" width="30" hidden="0" customWidth="1"/>
    <x:col min="13" max="13" width="22" hidden="0" customWidth="1"/>
    <x:col min="14" max="14" width="18" hidden="0" customWidth="1"/>
  </x:cols>
  <x:sheetData>
    <x:row r="1" ht="25" customHeight="1">
      <x:c r="A1" s="104" t="str">
        <x:v>Marque &amp; Reprisal – Outreach Scoring</x:v>
      </x:c>
      <x:c r="B1" s="104"/>
      <x:c r="C1" s="104"/>
      <x:c r="D1" s="105"/>
      <x:c r="E1" s="104" t="str">
        <x:v>Priority thresholds</x:v>
      </x:c>
      <x:c r="F1" s="104"/>
      <x:c r="G1" s="104"/>
      <x:c r="H1" s="105"/>
      <x:c r="I1" s="104" t="str">
        <x:v>Audience scoring</x:v>
      </x:c>
      <x:c r="J1" s="104"/>
      <x:c r="K1" s="104"/>
      <x:c r="L1" s="105"/>
      <x:c r="M1" s="104" t="str">
        <x:v>Localized languages</x:v>
      </x:c>
      <x:c r="N1" s="104"/>
    </x:row>
    <x:row r="2">
      <x:c r="A2" s="105"/>
      <x:c r="B2" s="105"/>
      <x:c r="C2" s="105"/>
      <x:c r="D2" s="105"/>
      <x:c r="E2" s="105"/>
      <x:c r="F2" s="105"/>
      <x:c r="G2" s="105"/>
      <x:c r="H2" s="105"/>
      <x:c r="I2" s="105"/>
      <x:c r="J2" s="105"/>
      <x:c r="K2" s="105"/>
      <x:c r="L2" s="105"/>
      <x:c r="M2" s="105"/>
      <x:c r="N2" s="105"/>
    </x:row>
    <x:row r="3">
      <x:c r="A3" s="78" t="str">
        <x:v>Relevant Seedbomb tag</x:v>
      </x:c>
      <x:c r="B3" s="78" t="str">
        <x:v>Points</x:v>
      </x:c>
      <x:c r="C3" s="78" t="str">
        <x:v>Why it matters</x:v>
      </x:c>
      <x:c r="D3" s="105"/>
      <x:c r="E3" s="78" t="str">
        <x:v>Priority</x:v>
      </x:c>
      <x:c r="F3" s="78" t="str">
        <x:v>Minimum total score</x:v>
      </x:c>
      <x:c r="G3" s="78" t="str">
        <x:v>Intended use</x:v>
      </x:c>
      <x:c r="H3" s="105"/>
      <x:c r="I3" s="78" t="str">
        <x:v>Minimum average viewers</x:v>
      </x:c>
      <x:c r="J3" s="78" t="str">
        <x:v>Points</x:v>
      </x:c>
      <x:c r="K3" s="78" t="str">
        <x:v>Audience tier</x:v>
      </x:c>
      <x:c r="L3" s="105"/>
      <x:c r="M3" s="78" t="str">
        <x:v>Seedbomb language ID</x:v>
      </x:c>
      <x:c r="N3" s="78" t="str">
        <x:v>Game support</x:v>
      </x:c>
    </x:row>
    <x:row r="4">
      <x:c r="A4" s="105" t="str">
        <x:v>Historical</x:v>
      </x:c>
      <x:c r="B4" s="106" t="n">
        <x:v>6</x:v>
      </x:c>
      <x:c r="C4" s="105" t="str">
        <x:v>Direct period-game fit</x:v>
      </x:c>
      <x:c r="D4" s="105"/>
      <x:c r="E4" s="105" t="str">
        <x:v>A - First wave</x:v>
      </x:c>
      <x:c r="F4" s="106" t="n">
        <x:v>16</x:v>
      </x:c>
      <x:c r="G4" s="105" t="str">
        <x:v>Best fit among small and mid-sized creators</x:v>
      </x:c>
      <x:c r="H4" s="105"/>
      <x:c r="I4" s="107" t="n">
        <x:v>0</x:v>
      </x:c>
      <x:c r="J4" s="107" t="n">
        <x:v>1</x:v>
      </x:c>
      <x:c r="K4" s="105" t="str">
        <x:v>Tiny</x:v>
      </x:c>
      <x:c r="L4" s="105"/>
      <x:c r="M4" s="105" t="str">
        <x:v>english</x:v>
      </x:c>
      <x:c r="N4" s="105" t="str">
        <x:v>Supported</x:v>
      </x:c>
    </x:row>
    <x:row r="5">
      <x:c r="A5" s="105" t="str">
        <x:v>Pirates</x:v>
      </x:c>
      <x:c r="B5" s="106" t="n">
        <x:v>6</x:v>
      </x:c>
      <x:c r="C5" s="105" t="str">
        <x:v>Direct piracy fit</x:v>
      </x:c>
      <x:c r="D5" s="105"/>
      <x:c r="E5" s="105" t="str">
        <x:v>B - Second wave</x:v>
      </x:c>
      <x:c r="F5" s="106" t="n">
        <x:v>11</x:v>
      </x:c>
      <x:c r="G5" s="105" t="str">
        <x:v>Useful fit or ambitious reach</x:v>
      </x:c>
      <x:c r="H5" s="105"/>
      <x:c r="I5" s="107" t="n">
        <x:v>25</x:v>
      </x:c>
      <x:c r="J5" s="107" t="n">
        <x:v>4</x:v>
      </x:c>
      <x:c r="K5" s="105" t="str">
        <x:v>Small/mid sweet spot</x:v>
      </x:c>
      <x:c r="L5" s="105"/>
      <x:c r="M5" s="105" t="str">
        <x:v>schinese</x:v>
      </x:c>
      <x:c r="N5" s="105" t="str">
        <x:v>Supported</x:v>
      </x:c>
    </x:row>
    <x:row r="6">
      <x:c r="A6" s="105" t="str">
        <x:v>Sailing</x:v>
      </x:c>
      <x:c r="B6" s="106" t="n">
        <x:v>6</x:v>
      </x:c>
      <x:c r="C6" s="105" t="str">
        <x:v>Direct sailing fit</x:v>
      </x:c>
      <x:c r="D6" s="105"/>
      <x:c r="E6" s="105" t="str">
        <x:v>C - Later</x:v>
      </x:c>
      <x:c r="F6" s="106" t="n">
        <x:v>7</x:v>
      </x:c>
      <x:c r="G6" s="105" t="str">
        <x:v>Some overlap; verify recent content first</x:v>
      </x:c>
      <x:c r="H6" s="105"/>
      <x:c r="I6" s="107" t="n">
        <x:v>751</x:v>
      </x:c>
      <x:c r="J6" s="107" t="n">
        <x:v>2</x:v>
      </x:c>
      <x:c r="K6" s="105" t="str">
        <x:v>Mid-sized</x:v>
      </x:c>
      <x:c r="L6" s="105"/>
      <x:c r="M6" s="105" t="str">
        <x:v>russian</x:v>
      </x:c>
      <x:c r="N6" s="105" t="str">
        <x:v>Supported</x:v>
      </x:c>
    </x:row>
    <x:row r="7">
      <x:c r="A7" s="105" t="str">
        <x:v>Naval Combat</x:v>
      </x:c>
      <x:c r="B7" s="106" t="n">
        <x:v>6</x:v>
      </x:c>
      <x:c r="C7" s="105" t="str">
        <x:v>Direct ship-combat fit</x:v>
      </x:c>
      <x:c r="D7" s="105"/>
      <x:c r="E7" s="105" t="str">
        <x:v>D - Skip</x:v>
      </x:c>
      <x:c r="F7" s="106" t="n">
        <x:v>0</x:v>
      </x:c>
      <x:c r="G7" s="105" t="str">
        <x:v>Weak current fit</x:v>
      </x:c>
      <x:c r="H7" s="105"/>
      <x:c r="I7" s="107" t="n">
        <x:v>2501</x:v>
      </x:c>
      <x:c r="J7" s="107" t="n">
        <x:v>0</x:v>
      </x:c>
      <x:c r="K7" s="105" t="str">
        <x:v>Large; lower cold-outreach probability</x:v>
      </x:c>
      <x:c r="L7" s="105"/>
      <x:c r="M7" s="105" t="str">
        <x:v>spanish</x:v>
      </x:c>
      <x:c r="N7" s="105" t="str">
        <x:v>Supported</x:v>
      </x:c>
    </x:row>
    <x:row r="8">
      <x:c r="A8" s="105" t="str">
        <x:v>Trading</x:v>
      </x:c>
      <x:c r="B8" s="106" t="n">
        <x:v>5</x:v>
      </x:c>
      <x:c r="C8" s="105" t="str">
        <x:v>Direct trading-loop fit</x:v>
      </x:c>
      <x:c r="D8" s="105"/>
      <x:c r="E8" s="105"/>
      <x:c r="F8" s="105"/>
      <x:c r="G8" s="105"/>
      <x:c r="H8" s="105"/>
      <x:c r="I8" s="105"/>
      <x:c r="J8" s="105"/>
      <x:c r="K8" s="105"/>
      <x:c r="L8" s="105"/>
      <x:c r="M8" s="105" t="str">
        <x:v>brazilian</x:v>
      </x:c>
      <x:c r="N8" s="105" t="str">
        <x:v>Supported</x:v>
      </x:c>
    </x:row>
    <x:row r="9">
      <x:c r="A9" s="105" t="str">
        <x:v>Economy</x:v>
      </x:c>
      <x:c r="B9" s="106" t="n">
        <x:v>5</x:v>
      </x:c>
      <x:c r="C9" s="105" t="str">
        <x:v>Direct economy fit</x:v>
      </x:c>
      <x:c r="D9" s="105"/>
      <x:c r="E9" s="104" t="str">
        <x:v>Language scoring</x:v>
      </x:c>
      <x:c r="F9" s="104"/>
      <x:c r="G9" s="104"/>
      <x:c r="H9" s="105"/>
      <x:c r="I9" s="105"/>
      <x:c r="J9" s="105"/>
      <x:c r="K9" s="105"/>
      <x:c r="L9" s="105"/>
      <x:c r="M9" s="105" t="str">
        <x:v>japanese</x:v>
      </x:c>
      <x:c r="N9" s="105" t="str">
        <x:v>Supported</x:v>
      </x:c>
    </x:row>
    <x:row r="10">
      <x:c r="A10" s="105" t="str">
        <x:v>Simulation</x:v>
      </x:c>
      <x:c r="B10" s="106" t="n">
        <x:v>4</x:v>
      </x:c>
      <x:c r="C10" s="105" t="str">
        <x:v>Strong systems fit</x:v>
      </x:c>
      <x:c r="D10" s="105"/>
      <x:c r="E10" s="78" t="str">
        <x:v>Language fit</x:v>
      </x:c>
      <x:c r="F10" s="78" t="str">
        <x:v>Points</x:v>
      </x:c>
      <x:c r="G10" s="78" t="str">
        <x:v>Meaning</x:v>
      </x:c>
      <x:c r="H10" s="105"/>
      <x:c r="I10" s="105"/>
      <x:c r="J10" s="105"/>
      <x:c r="K10" s="105"/>
      <x:c r="L10" s="105"/>
      <x:c r="M10" s="105" t="str">
        <x:v>german</x:v>
      </x:c>
      <x:c r="N10" s="105" t="str">
        <x:v>Supported</x:v>
      </x:c>
    </x:row>
    <x:row r="11">
      <x:c r="A11" s="105" t="str">
        <x:v>Sandbox</x:v>
      </x:c>
      <x:c r="B11" s="106" t="n">
        <x:v>4</x:v>
      </x:c>
      <x:c r="C11" s="105" t="str">
        <x:v>Strong open-ended fit</x:v>
      </x:c>
      <x:c r="D11" s="105"/>
      <x:c r="E11" s="105" t="str">
        <x:v>Supported</x:v>
      </x:c>
      <x:c r="F11" s="106" t="n">
        <x:v>2</x:v>
      </x:c>
      <x:c r="G11" s="105" t="str">
        <x:v>At least one listed language is localized</x:v>
      </x:c>
      <x:c r="H11" s="105"/>
      <x:c r="I11" s="105"/>
      <x:c r="J11" s="105"/>
      <x:c r="K11" s="105"/>
      <x:c r="L11" s="105"/>
      <x:c r="M11" s="105" t="str">
        <x:v>french</x:v>
      </x:c>
      <x:c r="N11" s="105" t="str">
        <x:v>Supported</x:v>
      </x:c>
    </x:row>
    <x:row r="12">
      <x:c r="A12" s="105" t="str">
        <x:v>Roguelite</x:v>
      </x:c>
      <x:c r="B12" s="106" t="n">
        <x:v>3</x:v>
      </x:c>
      <x:c r="C12" s="105" t="str">
        <x:v>Run-based structure</x:v>
      </x:c>
      <x:c r="D12" s="105"/>
      <x:c r="E12" s="105" t="str">
        <x:v>Not localized</x:v>
      </x:c>
      <x:c r="F12" s="106" t="n">
        <x:v>0</x:v>
      </x:c>
      <x:c r="G12" s="105" t="str">
        <x:v>Creator may still use English; verify before outreach</x:v>
      </x:c>
      <x:c r="H12" s="105"/>
      <x:c r="I12" s="105"/>
      <x:c r="J12" s="105"/>
      <x:c r="K12" s="105"/>
      <x:c r="L12" s="105"/>
      <x:c r="M12" s="105" t="str">
        <x:v>polish</x:v>
      </x:c>
      <x:c r="N12" s="105" t="str">
        <x:v>Supported</x:v>
      </x:c>
    </x:row>
    <x:row r="13">
      <x:c r="A13" s="105" t="str">
        <x:v>Roguelike</x:v>
      </x:c>
      <x:c r="B13" s="106" t="n">
        <x:v>3</x:v>
      </x:c>
      <x:c r="C13" s="105" t="str">
        <x:v>Permadeath and procedural runs</x:v>
      </x:c>
      <x:c r="D13" s="105"/>
      <x:c r="E13" s="105"/>
      <x:c r="F13" s="105"/>
      <x:c r="G13" s="105"/>
      <x:c r="H13" s="105"/>
      <x:c r="I13" s="105"/>
      <x:c r="J13" s="105"/>
      <x:c r="K13" s="105"/>
      <x:c r="L13" s="105"/>
      <x:c r="M13" s="105" t="str">
        <x:v>tchinese</x:v>
      </x:c>
      <x:c r="N13" s="105" t="str">
        <x:v>Supported</x:v>
      </x:c>
    </x:row>
    <x:row r="14">
      <x:c r="A14" s="105" t="str">
        <x:v>Exploration</x:v>
      </x:c>
      <x:c r="B14" s="106" t="n">
        <x:v>3</x:v>
      </x:c>
      <x:c r="C14" s="105" t="str">
        <x:v>World exploration</x:v>
      </x:c>
      <x:c r="D14" s="105"/>
      <x:c r="E14" s="105"/>
      <x:c r="F14" s="105"/>
      <x:c r="G14" s="105"/>
      <x:c r="H14" s="105"/>
      <x:c r="I14" s="105"/>
      <x:c r="J14" s="105"/>
      <x:c r="K14" s="105"/>
      <x:c r="L14" s="105"/>
      <x:c r="M14" s="105" t="str">
        <x:v>koreana</x:v>
      </x:c>
      <x:c r="N14" s="105" t="str">
        <x:v>Supported</x:v>
      </x:c>
    </x:row>
    <x:row r="15">
      <x:c r="A15" s="105" t="str">
        <x:v>Immersive Sim</x:v>
      </x:c>
      <x:c r="B15" s="106" t="n">
        <x:v>3</x:v>
      </x:c>
      <x:c r="C15" s="105" t="str">
        <x:v>Systems-driven play</x:v>
      </x:c>
      <x:c r="D15" s="105"/>
      <x:c r="E15" s="105"/>
      <x:c r="F15" s="105"/>
      <x:c r="G15" s="105"/>
      <x:c r="H15" s="105"/>
      <x:c r="I15" s="105"/>
      <x:c r="J15" s="105"/>
      <x:c r="K15" s="105"/>
      <x:c r="L15" s="105"/>
      <x:c r="M15" s="105"/>
      <x:c r="N15" s="105"/>
    </x:row>
    <x:row r="16">
      <x:c r="A16" s="105" t="str">
        <x:v>Strategy</x:v>
      </x:c>
      <x:c r="B16" s="106" t="n">
        <x:v>2</x:v>
      </x:c>
      <x:c r="C16" s="105" t="str">
        <x:v>Strategic audience overlap</x:v>
      </x:c>
      <x:c r="D16" s="105"/>
      <x:c r="E16" s="105"/>
      <x:c r="F16" s="105"/>
      <x:c r="G16" s="105"/>
      <x:c r="H16" s="105"/>
      <x:c r="I16" s="105"/>
      <x:c r="J16" s="105"/>
      <x:c r="K16" s="105"/>
      <x:c r="L16" s="105"/>
      <x:c r="M16" s="105"/>
      <x:c r="N16" s="105"/>
    </x:row>
    <x:row r="17">
      <x:c r="A17" s="105" t="str">
        <x:v>Open World</x:v>
      </x:c>
      <x:c r="B17" s="106" t="n">
        <x:v>2</x:v>
      </x:c>
      <x:c r="C17" s="105" t="str">
        <x:v>Open-ended world</x:v>
      </x:c>
      <x:c r="D17" s="105"/>
      <x:c r="E17" s="105"/>
      <x:c r="F17" s="105"/>
      <x:c r="G17" s="105"/>
      <x:c r="H17" s="105"/>
      <x:c r="I17" s="105"/>
      <x:c r="J17" s="105"/>
      <x:c r="K17" s="105"/>
      <x:c r="L17" s="105"/>
      <x:c r="M17" s="105"/>
      <x:c r="N17" s="105"/>
    </x:row>
    <x:row r="18">
      <x:c r="A18" s="105" t="str">
        <x:v>Pixel Graphics</x:v>
      </x:c>
      <x:c r="B18" s="106" t="n">
        <x:v>2</x:v>
      </x:c>
      <x:c r="C18" s="105" t="str">
        <x:v>Visual-style overlap</x:v>
      </x:c>
      <x:c r="D18" s="105"/>
      <x:c r="E18" s="105"/>
      <x:c r="F18" s="105"/>
      <x:c r="G18" s="105"/>
      <x:c r="H18" s="105"/>
      <x:c r="I18" s="105"/>
      <x:c r="J18" s="105"/>
      <x:c r="K18" s="105"/>
      <x:c r="L18" s="105"/>
      <x:c r="M18" s="105"/>
      <x:c r="N18" s="105"/>
    </x:row>
    <x:row r="19">
      <x:c r="A19" s="105" t="str">
        <x:v>RPG</x:v>
      </x:c>
      <x:c r="B19" s="106" t="n">
        <x:v>1</x:v>
      </x:c>
      <x:c r="C19" s="105" t="str">
        <x:v>Character-goal overlap</x:v>
      </x:c>
      <x:c r="D19" s="105"/>
      <x:c r="E19" s="105"/>
      <x:c r="F19" s="105"/>
      <x:c r="G19" s="105"/>
      <x:c r="H19" s="105"/>
      <x:c r="I19" s="105"/>
      <x:c r="J19" s="105"/>
      <x:c r="K19" s="105"/>
      <x:c r="L19" s="105"/>
      <x:c r="M19" s="105"/>
      <x:c r="N19" s="105"/>
    </x:row>
    <x:row r="20">
      <x:c r="A20" s="105" t="str">
        <x:v>Singleplayer</x:v>
      </x:c>
      <x:c r="B20" s="106" t="n">
        <x:v>1</x:v>
      </x:c>
      <x:c r="C20" s="105" t="str">
        <x:v>Format overlap</x:v>
      </x:c>
      <x:c r="D20" s="105"/>
      <x:c r="E20" s="105"/>
      <x:c r="F20" s="105"/>
      <x:c r="G20" s="105"/>
      <x:c r="H20" s="105"/>
      <x:c r="I20" s="105"/>
      <x:c r="J20" s="105"/>
      <x:c r="K20" s="105"/>
      <x:c r="L20" s="105"/>
      <x:c r="M20" s="105"/>
      <x:c r="N20" s="105"/>
    </x:row>
    <x:row r="21">
      <x:c r="A21" s="105" t="str">
        <x:v>Adventure</x:v>
      </x:c>
      <x:c r="B21" s="106" t="n">
        <x:v>1</x:v>
      </x:c>
      <x:c r="C21" s="105" t="str">
        <x:v>Broad thematic overlap</x:v>
      </x:c>
      <x:c r="D21" s="105"/>
      <x:c r="E21" s="105"/>
      <x:c r="F21" s="105"/>
      <x:c r="G21" s="105"/>
      <x:c r="H21" s="105"/>
      <x:c r="I21" s="105"/>
      <x:c r="J21" s="105"/>
      <x:c r="K21" s="105"/>
      <x:c r="L21" s="105"/>
      <x:c r="M21" s="105"/>
      <x:c r="N21" s="105"/>
    </x:row>
    <x:row r="22">
      <x:c r="A22" s="105" t="str">
        <x:v>2D</x:v>
      </x:c>
      <x:c r="B22" s="106" t="n">
        <x:v>1</x:v>
      </x:c>
      <x:c r="C22" s="105" t="str">
        <x:v>Presentation overlap</x:v>
      </x:c>
      <x:c r="D22" s="105"/>
      <x:c r="E22" s="105"/>
      <x:c r="F22" s="105"/>
      <x:c r="G22" s="105"/>
      <x:c r="H22" s="105"/>
      <x:c r="I22" s="105"/>
      <x:c r="J22" s="105"/>
      <x:c r="K22" s="105"/>
      <x:c r="L22" s="105"/>
      <x:c r="M22" s="105"/>
      <x:c r="N22" s="105"/>
    </x:row>
    <x:row r="23">
      <x:c r="A23" s="105"/>
      <x:c r="B23" s="105"/>
      <x:c r="C23" s="105"/>
      <x:c r="D23" s="105"/>
      <x:c r="E23" s="105"/>
      <x:c r="F23" s="105"/>
      <x:c r="G23" s="105"/>
      <x:c r="H23" s="105"/>
      <x:c r="I23" s="105"/>
      <x:c r="J23" s="105"/>
      <x:c r="K23" s="105"/>
      <x:c r="L23" s="105"/>
      <x:c r="M23" s="105"/>
      <x:c r="N23" s="105"/>
    </x:row>
    <x:row r="24">
      <x:c r="A24" s="105"/>
      <x:c r="B24" s="105"/>
      <x:c r="C24" s="105"/>
      <x:c r="D24" s="105"/>
      <x:c r="E24" s="105"/>
      <x:c r="F24" s="105"/>
      <x:c r="G24" s="105"/>
      <x:c r="H24" s="105"/>
      <x:c r="I24" s="105"/>
      <x:c r="J24" s="105"/>
      <x:c r="K24" s="105"/>
      <x:c r="L24" s="105"/>
      <x:c r="M24" s="105"/>
      <x:c r="N24" s="105"/>
    </x:row>
    <x:row r="25" ht="24" customHeight="1">
      <x:c r="A25" s="81" t="str">
        <x:v>Scoring is a first-pass triage tool, not a prediction of coverage. Seedbomb audience figures and emails must be re-verified before outreach. Priority favors game-tag overlap, currently localized languages, and audiences small enough to plausibly respond to a cold pitch.</x:v>
      </x:c>
      <x:c r="B25" s="82"/>
      <x:c r="C25" s="82"/>
      <x:c r="D25" s="82"/>
      <x:c r="E25" s="82"/>
      <x:c r="F25" s="82"/>
      <x:c r="G25" s="82"/>
      <x:c r="H25" s="82"/>
      <x:c r="I25" s="82"/>
      <x:c r="J25" s="82"/>
      <x:c r="K25" s="82"/>
      <x:c r="L25" s="82"/>
      <x:c r="M25" s="82"/>
      <x:c r="N25" s="83"/>
    </x:row>
    <x:row r="26" ht="24" customHeight="1">
      <x:c r="A26" s="84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6"/>
    </x:row>
    <x:row r="27" ht="24" customHeight="1">
      <x:c r="A27" s="87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9"/>
    </x:row>
  </x:sheetData>
  <x:mergeCells>
    <x:mergeCell ref="A1:C1"/>
    <x:mergeCell ref="E1:G1"/>
    <x:mergeCell ref="E9:G9"/>
    <x:mergeCell ref="I1:K1"/>
    <x:mergeCell ref="M1:N1"/>
    <x:mergeCell ref="A25:N27"/>
  </x:mergeCells>
  <x:pageMargins left="0.7" right="0.7" top="0.75" bottom="0.75" header="0.3" footer="0.3"/>
</x:worksheet>
</file>